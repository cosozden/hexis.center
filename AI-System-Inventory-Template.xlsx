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EU Database Registration" sheetId="4" state="visible" r:id="rId4"/>
  </sheets>
  <definedNames>
    <definedName name="_xlnm._FilterDatabase" localSheetId="1" hidden="1">'Inventory'!$A$1:$Q$52</definedName>
    <definedName name="_xlnm.Print_Titles" localSheetId="1">'Inventory'!$1:$1</definedName>
    <definedName name="_xlnm._FilterDatabase" localSheetId="3" hidden="1">'EU Database Registration'!$A$2:$P$23</definedName>
    <definedName name="_xlnm.Print_Titles" localSheetId="3">'EU Database Registration'!$2:$2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1">
    <font>
      <name val="Calibri"/>
      <family val="2"/>
      <color theme="1"/>
      <sz val="11"/>
      <scheme val="minor"/>
    </font>
    <font>
      <name val="Arial"/>
      <b val="1"/>
      <color rgb="00B2986C"/>
      <sz val="9"/>
    </font>
    <font>
      <name val="Georgia"/>
      <b val="1"/>
      <color rgb="001C1E23"/>
      <sz val="18"/>
    </font>
    <font>
      <name val="Arial"/>
      <color rgb="00686662"/>
      <sz val="11"/>
    </font>
    <font>
      <name val="Arial"/>
      <b val="1"/>
      <color rgb="00B2986C"/>
      <sz val="8"/>
    </font>
    <font>
      <name val="Arial"/>
      <color rgb="001C1E23"/>
      <sz val="10"/>
    </font>
    <font>
      <name val="Arial"/>
      <color rgb="00444240"/>
      <sz val="9"/>
    </font>
    <font>
      <name val="Arial"/>
      <b val="1"/>
      <color rgb="00444240"/>
      <sz val="9"/>
    </font>
    <font>
      <name val="Arial"/>
      <color rgb="00686662"/>
      <sz val="8"/>
    </font>
    <font>
      <name val="Arial"/>
      <b val="1"/>
      <color rgb="00FFFFFF"/>
      <sz val="9"/>
    </font>
    <font>
      <name val="Arial"/>
      <i val="1"/>
      <color rgb="00686662"/>
      <sz val="9"/>
    </font>
    <font>
      <name val="Arial"/>
      <i val="1"/>
      <color rgb="00686662"/>
      <sz val="10"/>
    </font>
    <font>
      <name val="Arial"/>
      <i val="1"/>
      <color rgb="00D4A017"/>
      <sz val="9"/>
    </font>
    <font>
      <name val="Arial"/>
      <color rgb="00686662"/>
      <sz val="10"/>
    </font>
    <font>
      <name val="Georgia"/>
      <b val="1"/>
      <color rgb="001C1E23"/>
      <sz val="16"/>
    </font>
    <font>
      <name val="Georgia"/>
      <b val="1"/>
      <color rgb="001C1E23"/>
      <sz val="22"/>
    </font>
    <font>
      <name val="Georgia"/>
      <b val="1"/>
      <color rgb="001C1E23"/>
      <sz val="14"/>
    </font>
    <font>
      <name val="Georgia"/>
      <b val="1"/>
      <color rgb="001C1E23"/>
      <sz val="12"/>
    </font>
    <font>
      <name val="Georgia"/>
      <b val="1"/>
      <color rgb="00C0392B"/>
      <sz val="12"/>
    </font>
    <font>
      <name val="Georgia"/>
      <b val="1"/>
      <color rgb="00D4A017"/>
      <sz val="12"/>
    </font>
    <font>
      <name val="Arial"/>
      <i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C1E23"/>
      </patternFill>
    </fill>
    <fill>
      <patternFill patternType="solid">
        <fgColor rgb="00F5F0E8"/>
      </patternFill>
    </fill>
    <fill>
      <patternFill patternType="solid">
        <fgColor rgb="00EDECEA"/>
      </patternFill>
    </fill>
    <fill>
      <patternFill patternType="solid">
        <fgColor rgb="00F2F1EF"/>
      </patternFill>
    </fill>
    <fill>
      <patternFill patternType="solid">
        <fgColor rgb="00F8F7F5"/>
      </patternFill>
    </fill>
    <fill>
      <patternFill patternType="solid">
        <fgColor rgb="00686662"/>
      </patternFill>
    </fill>
  </fills>
  <borders count="2">
    <border>
      <left/>
      <right/>
      <top/>
      <bottom/>
      <diagonal/>
    </border>
    <border>
      <left style="thin">
        <color rgb="00D6D4D0"/>
      </left>
      <right style="thin">
        <color rgb="00D6D4D0"/>
      </right>
      <top style="thin">
        <color rgb="00D6D4D0"/>
      </top>
      <bottom style="thin">
        <color rgb="00D6D4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top" wrapText="1"/>
    </xf>
    <xf numFmtId="0" fontId="8" fillId="2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14" fillId="2" borderId="0" pivotButton="0" quotePrefix="0" xfId="0"/>
    <xf numFmtId="0" fontId="13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9" fontId="15" fillId="7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17" fillId="7" borderId="1" applyAlignment="1" pivotButton="0" quotePrefix="0" xfId="0">
      <alignment horizontal="center" vertical="center" wrapText="1"/>
    </xf>
    <xf numFmtId="9" fontId="13" fillId="2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name val="Arial"/>
        <b val="1"/>
        <color rgb="00C0392B"/>
        <sz val="10"/>
      </font>
      <fill>
        <patternFill patternType="solid">
          <fgColor rgb="00E8D0D0"/>
        </patternFill>
      </fill>
    </dxf>
    <dxf>
      <font>
        <name val="Arial"/>
        <b val="1"/>
        <color rgb="00B45309"/>
        <sz val="10"/>
      </font>
      <fill>
        <patternFill patternType="solid">
          <fgColor rgb="00F0DDD0"/>
        </patternFill>
      </fill>
    </dxf>
    <dxf>
      <font>
        <name val="Arial"/>
        <color rgb="00D4A017"/>
        <sz val="10"/>
      </font>
      <fill>
        <patternFill patternType="solid">
          <fgColor rgb="00FFF3CD"/>
        </patternFill>
      </fill>
    </dxf>
    <dxf>
      <font>
        <name val="Arial"/>
        <color rgb="00155724"/>
        <sz val="10"/>
      </font>
      <fill>
        <patternFill patternType="solid">
          <fgColor rgb="00D4EDDA"/>
        </patternFill>
      </fill>
    </dxf>
    <dxf>
      <font>
        <name val="Arial"/>
        <color rgb="001A5276"/>
        <sz val="10"/>
      </font>
      <fill>
        <patternFill patternType="solid">
          <fgColor rgb="00D6E9F8"/>
        </patternFill>
      </fill>
    </dxf>
    <dxf>
      <font>
        <name val="Arial"/>
        <color rgb="006C3483"/>
        <sz val="10"/>
      </font>
      <fill>
        <patternFill patternType="solid">
          <fgColor rgb="00E8DAEF"/>
        </patternFill>
      </fill>
    </dxf>
    <dxf>
      <font>
        <name val="Arial"/>
        <b val="1"/>
        <color rgb="001C1E23"/>
        <sz val="10"/>
      </font>
    </dxf>
    <dxf>
      <font>
        <name val="Arial"/>
        <b val="1"/>
        <color rgb="00B45309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986C"/>
    <outlinePr summaryBelow="1" summaryRight="1"/>
    <pageSetUpPr/>
  </sheetPr>
  <dimension ref="A1:C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2" t="inlineStr">
        <is>
          <t>HEXIS</t>
        </is>
      </c>
      <c r="C3" s="1" t="n"/>
    </row>
    <row r="4">
      <c r="A4" s="1" t="n"/>
      <c r="B4" s="1" t="n"/>
      <c r="C4" s="1" t="n"/>
    </row>
    <row r="5">
      <c r="A5" s="1" t="n"/>
      <c r="B5" s="3" t="inlineStr">
        <is>
          <t>AI System Inventory</t>
        </is>
      </c>
      <c r="C5" s="1" t="n"/>
    </row>
    <row r="6">
      <c r="A6" s="1" t="n"/>
      <c r="B6" s="4" t="inlineStr">
        <is>
          <t>EU AI Act Compliance Starter Kit</t>
        </is>
      </c>
      <c r="C6" s="1" t="n"/>
    </row>
    <row r="7">
      <c r="A7" s="1" t="n"/>
      <c r="B7" s="1" t="n"/>
      <c r="C7" s="1" t="n"/>
    </row>
    <row r="8">
      <c r="A8" s="1" t="n"/>
      <c r="B8" s="5" t="inlineStr">
        <is>
          <t>PURPOSE</t>
        </is>
      </c>
      <c r="C8" s="1" t="n"/>
    </row>
    <row r="9" ht="60" customHeight="1">
      <c r="A9" s="1" t="n"/>
      <c r="B9" s="6" t="inlineStr">
        <is>
          <t>This workbook helps your organisation maintain a comprehensive register of all AI systems in use, in development, or under evaluation. A complete inventory is the foundation of EU AI Act compliance — you cannot classify risk, assign obligations, or track progress without knowing what AI systems you operate.</t>
        </is>
      </c>
      <c r="C9" s="1" t="n"/>
    </row>
    <row r="10">
      <c r="A10" s="1" t="n"/>
      <c r="B10" s="1" t="n"/>
      <c r="C10" s="1" t="n"/>
    </row>
    <row r="11">
      <c r="A11" s="1" t="n"/>
      <c r="B11" s="5" t="inlineStr">
        <is>
          <t>HOW TO USE</t>
        </is>
      </c>
      <c r="C11" s="1" t="n"/>
    </row>
    <row r="12" ht="38" customHeight="1">
      <c r="A12" s="1" t="n"/>
      <c r="B12" s="6" t="inlineStr">
        <is>
          <t>1.  The Inventory sheet contains 3 example rows (grey/italic). Review them to understand the expected data, then delete them before entering your own systems.</t>
        </is>
      </c>
      <c r="C12" s="1" t="n"/>
    </row>
    <row r="13" ht="38" customHeight="1">
      <c r="A13" s="1" t="n"/>
      <c r="B13" s="6" t="inlineStr">
        <is>
          <t>2.  Fill in one row per AI system. Use the dropdown menus for standardised fields (Risk Level, Status, Data Types).</t>
        </is>
      </c>
      <c r="C13" s="1" t="n"/>
    </row>
    <row r="14" ht="24" customHeight="1">
      <c r="A14" s="1" t="n"/>
      <c r="B14" s="6" t="inlineStr">
        <is>
          <t>3.  The Dashboard sheet automatically calculates summary statistics from your inventory.</t>
        </is>
      </c>
      <c r="C14" s="1" t="n"/>
    </row>
    <row r="15" ht="38" customHeight="1">
      <c r="A15" s="1" t="n"/>
      <c r="B15" s="6" t="inlineStr">
        <is>
          <t>4.  For HIGH-RISK or GPAI systems requiring EU database registration (Art. 49), complete the EU Database Registration sheet with Annex VIII details.</t>
        </is>
      </c>
      <c r="C15" s="1" t="n"/>
    </row>
    <row r="16" ht="24" customHeight="1">
      <c r="A16" s="1" t="n"/>
      <c r="B16" s="6" t="inlineStr">
        <is>
          <t>5.  Review your dashboard quarterly — or whenever a new AI system is deployed.</t>
        </is>
      </c>
      <c r="C16" s="1" t="n"/>
    </row>
    <row r="17" ht="38" customHeight="1">
      <c r="A17" s="1" t="n"/>
      <c r="B17" s="6" t="inlineStr">
        <is>
          <t>6.  Use this inventory as input for the Risk Classification Worksheet and EU AI Act Compliance Assessment (included in this kit).</t>
        </is>
      </c>
      <c r="C17" s="1" t="n"/>
    </row>
    <row r="18" ht="38" customHeight="1">
      <c r="A18" s="1" t="n"/>
      <c r="B18" s="6" t="inlineStr">
        <is>
          <t>7.  If you have more than 50 AI systems, simply insert additional rows in the Inventory sheet — all formulas will continue to work.</t>
        </is>
      </c>
      <c r="C18" s="1" t="n"/>
    </row>
    <row r="19">
      <c r="A19" s="1" t="n"/>
      <c r="B19" s="1" t="n"/>
      <c r="C19" s="1" t="n"/>
    </row>
    <row r="20">
      <c r="A20" s="1" t="n"/>
      <c r="B20" s="5" t="inlineStr">
        <is>
          <t>COLUMN REFERENCE</t>
        </is>
      </c>
      <c r="C20" s="1" t="n"/>
    </row>
    <row r="21" ht="32" customHeight="1">
      <c r="A21" s="1" t="n"/>
      <c r="B21" s="7" t="inlineStr">
        <is>
          <t>System ID  —  Unique identifier (auto-suggested format: AI-001, AI-002, etc.)</t>
        </is>
      </c>
      <c r="C21" s="1" t="n"/>
    </row>
    <row r="22" ht="16" customHeight="1">
      <c r="A22" s="1" t="n"/>
      <c r="B22" s="7" t="inlineStr">
        <is>
          <t>System Name  —  Common name used within your organisation</t>
        </is>
      </c>
      <c r="C22" s="1" t="n"/>
    </row>
    <row r="23" ht="32" customHeight="1">
      <c r="A23" s="1" t="n"/>
      <c r="B23" s="7" t="inlineStr">
        <is>
          <t>Provider / Vendor  —  Who built or supplies the system (internal team or vendor name)</t>
        </is>
      </c>
      <c r="C23" s="1" t="n"/>
    </row>
    <row r="24" ht="16" customHeight="1">
      <c r="A24" s="1" t="n"/>
      <c r="B24" s="7" t="inlineStr">
        <is>
          <t>Description  —  Brief explanation of what the system does</t>
        </is>
      </c>
      <c r="C24" s="1" t="n"/>
    </row>
    <row r="25" ht="64" customHeight="1">
      <c r="A25" s="1" t="n"/>
      <c r="B25" s="8" t="inlineStr">
        <is>
          <t>Intended Purpose  —  CRITICAL — The specific business purpose of this AI system. Be as detailed as possible: risk classification under the EU AI Act depends directly on this description (Art. 6). Example: 'Automated screening of job applications to rank candidates based on CV analysis'</t>
        </is>
      </c>
      <c r="C25" s="1" t="n"/>
    </row>
    <row r="26" ht="32" customHeight="1">
      <c r="A26" s="1" t="n"/>
      <c r="B26" s="7" t="inlineStr">
        <is>
          <t>Department / Business Unit  —  Which part of the organisation uses or owns the system</t>
        </is>
      </c>
      <c r="C26" s="1" t="n"/>
    </row>
    <row r="27" ht="32" customHeight="1">
      <c r="A27" s="1" t="n"/>
      <c r="B27" s="7" t="inlineStr">
        <is>
          <t>Responsible Person  —  Name + role of the individual accountable for this system</t>
        </is>
      </c>
      <c r="C27" s="1" t="n"/>
    </row>
    <row r="28" ht="32" customHeight="1">
      <c r="A28" s="1" t="n"/>
      <c r="B28" s="7" t="inlineStr">
        <is>
          <t>AI Act Role  —  Your organisation's role: Provider, Deployer, Importer, Distributor, or Authorised Representative</t>
        </is>
      </c>
      <c r="C28" s="1" t="n"/>
    </row>
    <row r="29" ht="32" customHeight="1">
      <c r="A29" s="1" t="n"/>
      <c r="B29" s="7" t="inlineStr">
        <is>
          <t>Deployment Status  —  Current lifecycle stage: Planning, Development, Testing, Production, or Retired</t>
        </is>
      </c>
      <c r="C29" s="1" t="n"/>
    </row>
    <row r="30" ht="16" customHeight="1">
      <c r="A30" s="1" t="n"/>
      <c r="B30" s="7" t="inlineStr">
        <is>
          <t>EU Market  —  Does this system serve or affect the EU market? Yes / No</t>
        </is>
      </c>
      <c r="C30" s="1" t="n"/>
    </row>
    <row r="31" ht="32" customHeight="1">
      <c r="A31" s="1" t="n"/>
      <c r="B31" s="7" t="inlineStr">
        <is>
          <t>Risk Level  —  EU AI Act classification: Prohibited, High, Limited, GPAI, or Minimal. Use the Risk Classification Worksheet to determine this.</t>
        </is>
      </c>
      <c r="C31" s="1" t="n"/>
    </row>
    <row r="32" ht="32" customHeight="1">
      <c r="A32" s="1" t="n"/>
      <c r="B32" s="7" t="inlineStr">
        <is>
          <t>Personal Data  —  Does the system process personal data? Yes / No / Unknown</t>
        </is>
      </c>
      <c r="C32" s="1" t="n"/>
    </row>
    <row r="33" ht="32" customHeight="1">
      <c r="A33" s="1" t="n"/>
      <c r="B33" s="7" t="inlineStr">
        <is>
          <t>Data Types  —  Primary category of sensitive data processed (select the most significant). Add details in Notes if multiple types apply.</t>
        </is>
      </c>
      <c r="C33" s="1" t="n"/>
    </row>
    <row r="34" ht="16" customHeight="1">
      <c r="A34" s="1" t="n"/>
      <c r="B34" s="7" t="inlineStr">
        <is>
          <t>Date Registered  —  When this system was added to the inventory</t>
        </is>
      </c>
      <c r="C34" s="1" t="n"/>
    </row>
    <row r="35" ht="16" customHeight="1">
      <c r="A35" s="1" t="n"/>
      <c r="B35" s="7" t="inlineStr">
        <is>
          <t>Last Review Date  —  When this entry was last verified or updated</t>
        </is>
      </c>
      <c r="C35" s="1" t="n"/>
    </row>
    <row r="36" ht="32" customHeight="1">
      <c r="A36" s="1" t="n"/>
      <c r="B36" s="7" t="inlineStr">
        <is>
          <t>Next Review Date  —  Target date for the next scheduled review of this system</t>
        </is>
      </c>
      <c r="C36" s="1" t="n"/>
    </row>
    <row r="37" ht="32" customHeight="1">
      <c r="A37" s="1" t="n"/>
      <c r="B37" s="7" t="inlineStr">
        <is>
          <t>Notes  —  Any additional context, dependencies, data type details, or open questions</t>
        </is>
      </c>
      <c r="C37" s="1" t="n"/>
    </row>
    <row r="38">
      <c r="A38" s="1" t="n"/>
      <c r="B38" s="1" t="n"/>
      <c r="C38" s="1" t="n"/>
    </row>
    <row r="39">
      <c r="A39" s="1" t="n"/>
      <c r="B39" s="5" t="inlineStr">
        <is>
          <t>LEGAL BASIS</t>
        </is>
      </c>
      <c r="C39" s="1" t="n"/>
    </row>
    <row r="40" ht="55" customHeight="1">
      <c r="A40" s="1" t="n"/>
      <c r="B40" s="9" t="inlineStr">
        <is>
          <t>Maintaining an AI system inventory supports compliance with multiple EU AI Act obligations: Article 9 (risk management system requires knowing which systems are in scope), Article 11 (technical documentation requires a general description of each system), Article 26 (deployers must monitor and document AI system use), and Article 49 (providers and deployers of high-risk AI systems must register in the EU database). This inventory serves as the internal prerequisite for all of these requirements.</t>
        </is>
      </c>
      <c r="C40" s="1" t="n"/>
    </row>
    <row r="41">
      <c r="A41" s="1" t="n"/>
      <c r="B41" s="1" t="n"/>
      <c r="C41" s="1" t="n"/>
    </row>
    <row r="42">
      <c r="A42" s="1" t="n"/>
      <c r="B42" s="10" t="inlineStr">
        <is>
          <t>hexis.center  ·  EU AI Act Compliance Starter Kit  ·  v1.0</t>
        </is>
      </c>
      <c r="C42" s="1" t="n"/>
    </row>
    <row r="43">
      <c r="A43" s="1" t="n"/>
      <c r="B43" s="1" t="n"/>
      <c r="C43" s="1" t="n"/>
    </row>
    <row r="44">
      <c r="A44" s="1" t="n"/>
      <c r="B44" s="1" t="n"/>
      <c r="C44" s="1" t="n"/>
    </row>
    <row r="45">
      <c r="A45" s="1" t="n"/>
      <c r="B45" s="1" t="n"/>
      <c r="C45" s="1" t="n"/>
    </row>
    <row r="46">
      <c r="A46" s="1" t="n"/>
      <c r="B46" s="1" t="n"/>
      <c r="C46" s="1" t="n"/>
    </row>
    <row r="47">
      <c r="A47" s="1" t="n"/>
      <c r="B47" s="1" t="n"/>
      <c r="C47" s="1" t="n"/>
    </row>
    <row r="48">
      <c r="A48" s="1" t="n"/>
      <c r="B48" s="1" t="n"/>
      <c r="C48" s="1" t="n"/>
    </row>
    <row r="49">
      <c r="A49" s="1" t="n"/>
      <c r="B49" s="1" t="n"/>
      <c r="C49" s="1" t="n"/>
    </row>
    <row r="50">
      <c r="A50" s="1" t="n"/>
      <c r="B50" s="1" t="n"/>
      <c r="C50" s="1" t="n"/>
    </row>
    <row r="51">
      <c r="A51" s="1" t="n"/>
      <c r="B51" s="1" t="n"/>
      <c r="C51" s="1" t="n"/>
    </row>
    <row r="52">
      <c r="A52" s="1" t="n"/>
      <c r="B52" s="1" t="n"/>
      <c r="C52" s="1" t="n"/>
    </row>
    <row r="53">
      <c r="A53" s="1" t="n"/>
      <c r="B53" s="1" t="n"/>
      <c r="C53" s="1" t="n"/>
    </row>
    <row r="54">
      <c r="A54" s="1" t="n"/>
      <c r="B54" s="1" t="n"/>
      <c r="C54" s="1" t="n"/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C1E23"/>
    <outlinePr summaryBelow="1" summaryRight="1"/>
    <pageSetUpPr fitToPage="1"/>
  </sheetPr>
  <dimension ref="A1:Q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5" customWidth="1" min="4" max="4"/>
    <col width="35" customWidth="1" min="5" max="5"/>
    <col width="20" customWidth="1" min="6" max="6"/>
    <col width="20" customWidth="1" min="7" max="7"/>
    <col width="18" customWidth="1" min="8" max="8"/>
    <col width="16" customWidth="1" min="9" max="9"/>
    <col width="11" customWidth="1" min="10" max="10"/>
    <col width="14" customWidth="1" min="11" max="11"/>
    <col width="13" customWidth="1" min="12" max="12"/>
    <col width="20" customWidth="1" min="13" max="13"/>
    <col width="15" customWidth="1" min="14" max="14"/>
    <col width="15" customWidth="1" min="15" max="15"/>
    <col width="15" customWidth="1" min="16" max="16"/>
    <col width="40" customWidth="1" min="17" max="17"/>
  </cols>
  <sheetData>
    <row r="1" ht="32" customHeight="1">
      <c r="A1" s="11" t="inlineStr">
        <is>
          <t>System ID</t>
        </is>
      </c>
      <c r="B1" s="11" t="inlineStr">
        <is>
          <t>System Name</t>
        </is>
      </c>
      <c r="C1" s="11" t="inlineStr">
        <is>
          <t>Provider / Vendor</t>
        </is>
      </c>
      <c r="D1" s="11" t="inlineStr">
        <is>
          <t>Description</t>
        </is>
      </c>
      <c r="E1" s="11" t="inlineStr">
        <is>
          <t>Intended Purpose</t>
        </is>
      </c>
      <c r="F1" s="11" t="inlineStr">
        <is>
          <t>Department / Business Unit</t>
        </is>
      </c>
      <c r="G1" s="11" t="inlineStr">
        <is>
          <t>Responsible Person</t>
        </is>
      </c>
      <c r="H1" s="11" t="inlineStr">
        <is>
          <t>AI Act Role</t>
        </is>
      </c>
      <c r="I1" s="11" t="inlineStr">
        <is>
          <t>Deployment Status</t>
        </is>
      </c>
      <c r="J1" s="11" t="inlineStr">
        <is>
          <t>EU Market</t>
        </is>
      </c>
      <c r="K1" s="11" t="inlineStr">
        <is>
          <t>Risk Level</t>
        </is>
      </c>
      <c r="L1" s="11" t="inlineStr">
        <is>
          <t>Personal Data</t>
        </is>
      </c>
      <c r="M1" s="11" t="inlineStr">
        <is>
          <t>Data Types</t>
        </is>
      </c>
      <c r="N1" s="11" t="inlineStr">
        <is>
          <t>Date Registered</t>
        </is>
      </c>
      <c r="O1" s="11" t="inlineStr">
        <is>
          <t>Last Review Date</t>
        </is>
      </c>
      <c r="P1" s="11" t="inlineStr">
        <is>
          <t>Next Review Date</t>
        </is>
      </c>
      <c r="Q1" s="11" t="inlineStr">
        <is>
          <t>Notes</t>
        </is>
      </c>
    </row>
    <row r="2" ht="28" customHeight="1">
      <c r="A2" s="12" t="inlineStr">
        <is>
          <t>AI-001</t>
        </is>
      </c>
      <c r="B2" s="12" t="inlineStr">
        <is>
          <t>e.g. Customer Chatbot</t>
        </is>
      </c>
      <c r="C2" s="12" t="inlineStr">
        <is>
          <t>e.g. OpenAI / Internal</t>
        </is>
      </c>
      <c r="D2" s="12" t="inlineStr">
        <is>
          <t>Brief description of the system</t>
        </is>
      </c>
      <c r="E2" s="12" t="inlineStr">
        <is>
          <t>Be specific — risk classification depends on this (Art. 6)</t>
        </is>
      </c>
      <c r="F2" s="12" t="inlineStr">
        <is>
          <t>e.g. Customer Service</t>
        </is>
      </c>
      <c r="G2" s="12" t="inlineStr">
        <is>
          <t>e.g. Jane Smith, Head of CS</t>
        </is>
      </c>
      <c r="H2" s="12" t="inlineStr">
        <is>
          <t>Select role</t>
        </is>
      </c>
      <c r="I2" s="12" t="inlineStr">
        <is>
          <t>Select status</t>
        </is>
      </c>
      <c r="J2" s="12" t="inlineStr">
        <is>
          <t>Yes/No</t>
        </is>
      </c>
      <c r="K2" s="12" t="inlineStr">
        <is>
          <t>Select level</t>
        </is>
      </c>
      <c r="L2" s="12" t="inlineStr">
        <is>
          <t>Yes/No/Unknown</t>
        </is>
      </c>
      <c r="M2" s="12" t="inlineStr">
        <is>
          <t>Select primary type</t>
        </is>
      </c>
      <c r="N2" s="12" t="inlineStr">
        <is>
          <t>DD/MM/YYYY</t>
        </is>
      </c>
      <c r="O2" s="12" t="inlineStr">
        <is>
          <t>DD/MM/YYYY</t>
        </is>
      </c>
      <c r="P2" s="12" t="inlineStr">
        <is>
          <t>DD/MM/YYYY</t>
        </is>
      </c>
      <c r="Q2" s="12" t="inlineStr">
        <is>
          <t>Additional notes</t>
        </is>
      </c>
    </row>
    <row r="3" ht="135" customHeight="1">
      <c r="A3" s="13" t="inlineStr">
        <is>
          <t>AI-001</t>
        </is>
      </c>
      <c r="B3" s="14" t="inlineStr">
        <is>
          <t>HR Candidate Screening Tool</t>
        </is>
      </c>
      <c r="C3" s="14" t="inlineStr">
        <is>
          <t>TalentAI Solutions</t>
        </is>
      </c>
      <c r="D3" s="14" t="inlineStr">
        <is>
          <t>Automated CV parsing and candidate ranking for open positions</t>
        </is>
      </c>
      <c r="E3" s="14" t="inlineStr">
        <is>
          <t>Screening and ranking job applicants based on CV analysis to shortlist candidates for interview</t>
        </is>
      </c>
      <c r="F3" s="14" t="inlineStr">
        <is>
          <t>Human Resources</t>
        </is>
      </c>
      <c r="G3" s="14" t="inlineStr">
        <is>
          <t>Elif Kaya, HR Director</t>
        </is>
      </c>
      <c r="H3" s="14" t="inlineStr">
        <is>
          <t>Deployer</t>
        </is>
      </c>
      <c r="I3" s="14" t="inlineStr">
        <is>
          <t>Production</t>
        </is>
      </c>
      <c r="J3" s="14" t="inlineStr">
        <is>
          <t>Yes</t>
        </is>
      </c>
      <c r="K3" s="14" t="inlineStr">
        <is>
          <t>High</t>
        </is>
      </c>
      <c r="L3" s="14" t="inlineStr">
        <is>
          <t>Yes</t>
        </is>
      </c>
      <c r="M3" s="14" t="inlineStr">
        <is>
          <t>Employment, Biometric</t>
        </is>
      </c>
      <c r="N3" s="15" t="inlineStr">
        <is>
          <t>15/01/2026</t>
        </is>
      </c>
      <c r="O3" s="15" t="inlineStr">
        <is>
          <t>15/01/2026</t>
        </is>
      </c>
      <c r="P3" s="15" t="inlineStr">
        <is>
          <t>15/04/2026</t>
        </is>
      </c>
      <c r="Q3" s="16" t="inlineStr">
        <is>
          <t>EXAMPLE — Delete before use. High-risk per Annex III §4(a). Also processes Biometric data (photo analysis). Note: FRIA (Art. 27) is mandatory only for public bodies, private public-service providers, and credit scoring/insurance deployers — this private HR system does NOT require FRIA.</t>
        </is>
      </c>
    </row>
    <row r="4" ht="75" customHeight="1">
      <c r="A4" s="13" t="inlineStr">
        <is>
          <t>AI-002</t>
        </is>
      </c>
      <c r="B4" s="14" t="inlineStr">
        <is>
          <t>Customer Service Chatbot</t>
        </is>
      </c>
      <c r="C4" s="14" t="inlineStr">
        <is>
          <t>Internal Development</t>
        </is>
      </c>
      <c r="D4" s="14" t="inlineStr">
        <is>
          <t>GPT-based chatbot answering customer queries on website</t>
        </is>
      </c>
      <c r="E4" s="14" t="inlineStr">
        <is>
          <t>Providing automated responses to customer support questions about product features and order status</t>
        </is>
      </c>
      <c r="F4" s="14" t="inlineStr">
        <is>
          <t>Customer Experience</t>
        </is>
      </c>
      <c r="G4" s="14" t="inlineStr">
        <is>
          <t>Mehmet Demir, CX Lead</t>
        </is>
      </c>
      <c r="H4" s="14" t="inlineStr">
        <is>
          <t>Deployer</t>
        </is>
      </c>
      <c r="I4" s="14" t="inlineStr">
        <is>
          <t>Production</t>
        </is>
      </c>
      <c r="J4" s="14" t="inlineStr">
        <is>
          <t>Yes</t>
        </is>
      </c>
      <c r="K4" s="14" t="inlineStr">
        <is>
          <t>Limited</t>
        </is>
      </c>
      <c r="L4" s="14" t="inlineStr">
        <is>
          <t>Yes</t>
        </is>
      </c>
      <c r="M4" s="14" t="inlineStr">
        <is>
          <t>Behavioural</t>
        </is>
      </c>
      <c r="N4" s="15" t="inlineStr">
        <is>
          <t>03/02/2026</t>
        </is>
      </c>
      <c r="O4" s="15" t="inlineStr">
        <is>
          <t>03/02/2026</t>
        </is>
      </c>
      <c r="P4" s="15" t="inlineStr">
        <is>
          <t>03/08/2026</t>
        </is>
      </c>
      <c r="Q4" s="16" t="inlineStr">
        <is>
          <t>EXAMPLE — Delete before use. Art. 50 transparency: users must be informed they interact with AI. GPAI model used (GPT-4) — check provider obligations.</t>
        </is>
      </c>
    </row>
    <row r="5" ht="120" customHeight="1">
      <c r="A5" s="13" t="inlineStr">
        <is>
          <t>AI-003</t>
        </is>
      </c>
      <c r="B5" s="14" t="inlineStr">
        <is>
          <t>Transaction Fraud Detection</t>
        </is>
      </c>
      <c r="C5" s="14" t="inlineStr">
        <is>
          <t>FinSecure Ltd.</t>
        </is>
      </c>
      <c r="D5" s="14" t="inlineStr">
        <is>
          <t>Real-time ML model flagging suspicious payment transactions</t>
        </is>
      </c>
      <c r="E5" s="14" t="inlineStr">
        <is>
          <t>Evaluating creditworthiness and detecting fraudulent transactions for payment processing</t>
        </is>
      </c>
      <c r="F5" s="14" t="inlineStr">
        <is>
          <t>Risk &amp; Compliance</t>
        </is>
      </c>
      <c r="G5" s="14" t="inlineStr">
        <is>
          <t>Ayşe Yılmaz, Chief Risk Officer</t>
        </is>
      </c>
      <c r="H5" s="14" t="inlineStr">
        <is>
          <t>Provider</t>
        </is>
      </c>
      <c r="I5" s="14" t="inlineStr">
        <is>
          <t>Testing</t>
        </is>
      </c>
      <c r="J5" s="14" t="inlineStr">
        <is>
          <t>Yes</t>
        </is>
      </c>
      <c r="K5" s="14" t="inlineStr">
        <is>
          <t>High</t>
        </is>
      </c>
      <c r="L5" s="14" t="inlineStr">
        <is>
          <t>Yes</t>
        </is>
      </c>
      <c r="M5" s="14" t="inlineStr">
        <is>
          <t>Financial</t>
        </is>
      </c>
      <c r="N5" s="15" t="inlineStr">
        <is>
          <t>10/03/2026</t>
        </is>
      </c>
      <c r="O5" s="15" t="inlineStr">
        <is>
          <t>10/03/2026</t>
        </is>
      </c>
      <c r="P5" s="15" t="inlineStr">
        <is>
          <t>10/06/2026</t>
        </is>
      </c>
      <c r="Q5" s="16" t="inlineStr">
        <is>
          <t>EXAMPLE — Delete before use. High-risk per Annex III §5(b) due to creditworthiness evaluation. Note: pure fraud detection is EXEMPT from §5(b). Provider obligations apply (Art. 16). Pre-production — must complete conformity assessment before deployment.</t>
        </is>
      </c>
    </row>
    <row r="6" ht="28" customHeight="1">
      <c r="A6" s="17" t="inlineStr">
        <is>
          <t>AI-004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9" t="n"/>
      <c r="O6" s="19" t="n"/>
      <c r="P6" s="19" t="n"/>
      <c r="Q6" s="18" t="n"/>
    </row>
    <row r="7" ht="28" customHeight="1">
      <c r="A7" s="20" t="inlineStr">
        <is>
          <t>AI-005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2" t="n"/>
      <c r="O7" s="22" t="n"/>
      <c r="P7" s="22" t="n"/>
      <c r="Q7" s="21" t="n"/>
    </row>
    <row r="8" ht="28" customHeight="1">
      <c r="A8" s="17" t="inlineStr">
        <is>
          <t>AI-006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9" t="n"/>
      <c r="O8" s="19" t="n"/>
      <c r="P8" s="19" t="n"/>
      <c r="Q8" s="18" t="n"/>
    </row>
    <row r="9" ht="28" customHeight="1">
      <c r="A9" s="20" t="inlineStr">
        <is>
          <t>AI-007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2" t="n"/>
      <c r="O9" s="22" t="n"/>
      <c r="P9" s="22" t="n"/>
      <c r="Q9" s="21" t="n"/>
    </row>
    <row r="10" ht="28" customHeight="1">
      <c r="A10" s="17" t="inlineStr">
        <is>
          <t>AI-008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  <c r="O10" s="19" t="n"/>
      <c r="P10" s="19" t="n"/>
      <c r="Q10" s="18" t="n"/>
    </row>
    <row r="11" ht="28" customHeight="1">
      <c r="A11" s="20" t="inlineStr">
        <is>
          <t>AI-009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2" t="n"/>
      <c r="O11" s="22" t="n"/>
      <c r="P11" s="22" t="n"/>
      <c r="Q11" s="21" t="n"/>
    </row>
    <row r="12" ht="28" customHeight="1">
      <c r="A12" s="17" t="inlineStr">
        <is>
          <t>AI-010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9" t="n"/>
      <c r="O12" s="19" t="n"/>
      <c r="P12" s="19" t="n"/>
      <c r="Q12" s="18" t="n"/>
    </row>
    <row r="13" ht="28" customHeight="1">
      <c r="A13" s="20" t="inlineStr">
        <is>
          <t>AI-011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2" t="n"/>
      <c r="O13" s="22" t="n"/>
      <c r="P13" s="22" t="n"/>
      <c r="Q13" s="21" t="n"/>
    </row>
    <row r="14" ht="28" customHeight="1">
      <c r="A14" s="17" t="inlineStr">
        <is>
          <t>AI-012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  <c r="O14" s="19" t="n"/>
      <c r="P14" s="19" t="n"/>
      <c r="Q14" s="18" t="n"/>
    </row>
    <row r="15" ht="28" customHeight="1">
      <c r="A15" s="20" t="inlineStr">
        <is>
          <t>AI-013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2" t="n"/>
      <c r="O15" s="22" t="n"/>
      <c r="P15" s="22" t="n"/>
      <c r="Q15" s="21" t="n"/>
    </row>
    <row r="16" ht="28" customHeight="1">
      <c r="A16" s="17" t="inlineStr">
        <is>
          <t>AI-014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  <c r="O16" s="19" t="n"/>
      <c r="P16" s="19" t="n"/>
      <c r="Q16" s="18" t="n"/>
    </row>
    <row r="17" ht="28" customHeight="1">
      <c r="A17" s="20" t="inlineStr">
        <is>
          <t>AI-015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2" t="n"/>
      <c r="O17" s="22" t="n"/>
      <c r="P17" s="22" t="n"/>
      <c r="Q17" s="21" t="n"/>
    </row>
    <row r="18" ht="28" customHeight="1">
      <c r="A18" s="17" t="inlineStr">
        <is>
          <t>AI-016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9" t="n"/>
      <c r="O18" s="19" t="n"/>
      <c r="P18" s="19" t="n"/>
      <c r="Q18" s="18" t="n"/>
    </row>
    <row r="19" ht="28" customHeight="1">
      <c r="A19" s="20" t="inlineStr">
        <is>
          <t>AI-017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2" t="n"/>
      <c r="O19" s="22" t="n"/>
      <c r="P19" s="22" t="n"/>
      <c r="Q19" s="21" t="n"/>
    </row>
    <row r="20" ht="28" customHeight="1">
      <c r="A20" s="17" t="inlineStr">
        <is>
          <t>AI-018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9" t="n"/>
      <c r="O20" s="19" t="n"/>
      <c r="P20" s="19" t="n"/>
      <c r="Q20" s="18" t="n"/>
    </row>
    <row r="21" ht="28" customHeight="1">
      <c r="A21" s="20" t="inlineStr">
        <is>
          <t>AI-019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2" t="n"/>
      <c r="O21" s="22" t="n"/>
      <c r="P21" s="22" t="n"/>
      <c r="Q21" s="21" t="n"/>
    </row>
    <row r="22" ht="28" customHeight="1">
      <c r="A22" s="17" t="inlineStr">
        <is>
          <t>AI-020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9" t="n"/>
      <c r="O22" s="19" t="n"/>
      <c r="P22" s="19" t="n"/>
      <c r="Q22" s="18" t="n"/>
    </row>
    <row r="23" ht="28" customHeight="1">
      <c r="A23" s="20" t="inlineStr">
        <is>
          <t>AI-021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2" t="n"/>
      <c r="O23" s="22" t="n"/>
      <c r="P23" s="22" t="n"/>
      <c r="Q23" s="21" t="n"/>
    </row>
    <row r="24" ht="28" customHeight="1">
      <c r="A24" s="17" t="inlineStr">
        <is>
          <t>AI-022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9" t="n"/>
      <c r="O24" s="19" t="n"/>
      <c r="P24" s="19" t="n"/>
      <c r="Q24" s="18" t="n"/>
    </row>
    <row r="25" ht="28" customHeight="1">
      <c r="A25" s="20" t="inlineStr">
        <is>
          <t>AI-023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2" t="n"/>
      <c r="O25" s="22" t="n"/>
      <c r="P25" s="22" t="n"/>
      <c r="Q25" s="21" t="n"/>
    </row>
    <row r="26" ht="28" customHeight="1">
      <c r="A26" s="17" t="inlineStr">
        <is>
          <t>AI-024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9" t="n"/>
      <c r="O26" s="19" t="n"/>
      <c r="P26" s="19" t="n"/>
      <c r="Q26" s="18" t="n"/>
    </row>
    <row r="27" ht="28" customHeight="1">
      <c r="A27" s="20" t="inlineStr">
        <is>
          <t>AI-025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2" t="n"/>
      <c r="O27" s="22" t="n"/>
      <c r="P27" s="22" t="n"/>
      <c r="Q27" s="21" t="n"/>
    </row>
    <row r="28" ht="28" customHeight="1">
      <c r="A28" s="17" t="inlineStr">
        <is>
          <t>AI-026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9" t="n"/>
      <c r="O28" s="19" t="n"/>
      <c r="P28" s="19" t="n"/>
      <c r="Q28" s="18" t="n"/>
    </row>
    <row r="29" ht="28" customHeight="1">
      <c r="A29" s="20" t="inlineStr">
        <is>
          <t>AI-027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2" t="n"/>
      <c r="O29" s="22" t="n"/>
      <c r="P29" s="22" t="n"/>
      <c r="Q29" s="21" t="n"/>
    </row>
    <row r="30" ht="28" customHeight="1">
      <c r="A30" s="17" t="inlineStr">
        <is>
          <t>AI-028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  <c r="O30" s="19" t="n"/>
      <c r="P30" s="19" t="n"/>
      <c r="Q30" s="18" t="n"/>
    </row>
    <row r="31" ht="28" customHeight="1">
      <c r="A31" s="20" t="inlineStr">
        <is>
          <t>AI-029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2" t="n"/>
      <c r="O31" s="22" t="n"/>
      <c r="P31" s="22" t="n"/>
      <c r="Q31" s="21" t="n"/>
    </row>
    <row r="32" ht="28" customHeight="1">
      <c r="A32" s="17" t="inlineStr">
        <is>
          <t>AI-030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9" t="n"/>
      <c r="O32" s="19" t="n"/>
      <c r="P32" s="19" t="n"/>
      <c r="Q32" s="18" t="n"/>
    </row>
    <row r="33" ht="28" customHeight="1">
      <c r="A33" s="20" t="inlineStr">
        <is>
          <t>AI-031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2" t="n"/>
      <c r="O33" s="22" t="n"/>
      <c r="P33" s="22" t="n"/>
      <c r="Q33" s="21" t="n"/>
    </row>
    <row r="34" ht="28" customHeight="1">
      <c r="A34" s="17" t="inlineStr">
        <is>
          <t>AI-032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9" t="n"/>
      <c r="O34" s="19" t="n"/>
      <c r="P34" s="19" t="n"/>
      <c r="Q34" s="18" t="n"/>
    </row>
    <row r="35" ht="28" customHeight="1">
      <c r="A35" s="20" t="inlineStr">
        <is>
          <t>AI-033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2" t="n"/>
      <c r="O35" s="22" t="n"/>
      <c r="P35" s="22" t="n"/>
      <c r="Q35" s="21" t="n"/>
    </row>
    <row r="36" ht="28" customHeight="1">
      <c r="A36" s="17" t="inlineStr">
        <is>
          <t>AI-034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9" t="n"/>
      <c r="O36" s="19" t="n"/>
      <c r="P36" s="19" t="n"/>
      <c r="Q36" s="18" t="n"/>
    </row>
    <row r="37" ht="28" customHeight="1">
      <c r="A37" s="20" t="inlineStr">
        <is>
          <t>AI-035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2" t="n"/>
      <c r="O37" s="22" t="n"/>
      <c r="P37" s="22" t="n"/>
      <c r="Q37" s="21" t="n"/>
    </row>
    <row r="38" ht="28" customHeight="1">
      <c r="A38" s="17" t="inlineStr">
        <is>
          <t>AI-036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9" t="n"/>
      <c r="O38" s="19" t="n"/>
      <c r="P38" s="19" t="n"/>
      <c r="Q38" s="18" t="n"/>
    </row>
    <row r="39" ht="28" customHeight="1">
      <c r="A39" s="20" t="inlineStr">
        <is>
          <t>AI-037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2" t="n"/>
      <c r="O39" s="22" t="n"/>
      <c r="P39" s="22" t="n"/>
      <c r="Q39" s="21" t="n"/>
    </row>
    <row r="40" ht="28" customHeight="1">
      <c r="A40" s="17" t="inlineStr">
        <is>
          <t>AI-038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 t="n"/>
      <c r="O40" s="19" t="n"/>
      <c r="P40" s="19" t="n"/>
      <c r="Q40" s="18" t="n"/>
    </row>
    <row r="41" ht="28" customHeight="1">
      <c r="A41" s="20" t="inlineStr">
        <is>
          <t>AI-039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2" t="n"/>
      <c r="O41" s="22" t="n"/>
      <c r="P41" s="22" t="n"/>
      <c r="Q41" s="21" t="n"/>
    </row>
    <row r="42" ht="28" customHeight="1">
      <c r="A42" s="17" t="inlineStr">
        <is>
          <t>AI-040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  <c r="O42" s="19" t="n"/>
      <c r="P42" s="19" t="n"/>
      <c r="Q42" s="18" t="n"/>
    </row>
    <row r="43" ht="28" customHeight="1">
      <c r="A43" s="20" t="inlineStr">
        <is>
          <t>AI-041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2" t="n"/>
      <c r="O43" s="22" t="n"/>
      <c r="P43" s="22" t="n"/>
      <c r="Q43" s="21" t="n"/>
    </row>
    <row r="44" ht="28" customHeight="1">
      <c r="A44" s="17" t="inlineStr">
        <is>
          <t>AI-042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9" t="n"/>
      <c r="O44" s="19" t="n"/>
      <c r="P44" s="19" t="n"/>
      <c r="Q44" s="18" t="n"/>
    </row>
    <row r="45" ht="28" customHeight="1">
      <c r="A45" s="20" t="inlineStr">
        <is>
          <t>AI-043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2" t="n"/>
      <c r="O45" s="22" t="n"/>
      <c r="P45" s="22" t="n"/>
      <c r="Q45" s="21" t="n"/>
    </row>
    <row r="46" ht="28" customHeight="1">
      <c r="A46" s="17" t="inlineStr">
        <is>
          <t>AI-044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9" t="n"/>
      <c r="O46" s="19" t="n"/>
      <c r="P46" s="19" t="n"/>
      <c r="Q46" s="18" t="n"/>
    </row>
    <row r="47" ht="28" customHeight="1">
      <c r="A47" s="20" t="inlineStr">
        <is>
          <t>AI-045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2" t="n"/>
      <c r="O47" s="22" t="n"/>
      <c r="P47" s="22" t="n"/>
      <c r="Q47" s="21" t="n"/>
    </row>
    <row r="48" ht="28" customHeight="1">
      <c r="A48" s="17" t="inlineStr">
        <is>
          <t>AI-046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9" t="n"/>
      <c r="O48" s="19" t="n"/>
      <c r="P48" s="19" t="n"/>
      <c r="Q48" s="18" t="n"/>
    </row>
    <row r="49" ht="28" customHeight="1">
      <c r="A49" s="20" t="inlineStr">
        <is>
          <t>AI-047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2" t="n"/>
      <c r="O49" s="22" t="n"/>
      <c r="P49" s="22" t="n"/>
      <c r="Q49" s="21" t="n"/>
    </row>
    <row r="50" ht="28" customHeight="1">
      <c r="A50" s="17" t="inlineStr">
        <is>
          <t>AI-048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9" t="n"/>
      <c r="O50" s="19" t="n"/>
      <c r="P50" s="19" t="n"/>
      <c r="Q50" s="18" t="n"/>
    </row>
    <row r="51" ht="28" customHeight="1">
      <c r="A51" s="20" t="inlineStr">
        <is>
          <t>AI-049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2" t="n"/>
      <c r="O51" s="22" t="n"/>
      <c r="P51" s="22" t="n"/>
      <c r="Q51" s="21" t="n"/>
    </row>
    <row r="52" ht="28" customHeight="1">
      <c r="A52" s="17" t="inlineStr">
        <is>
          <t>AI-050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9" t="n"/>
      <c r="O52" s="19" t="n"/>
      <c r="P52" s="19" t="n"/>
      <c r="Q52" s="18" t="n"/>
    </row>
  </sheetData>
  <autoFilter ref="A1:Q52"/>
  <conditionalFormatting sqref="K3:K52">
    <cfRule type="cellIs" priority="1" operator="equal" dxfId="0">
      <formula>"Prohibited"</formula>
    </cfRule>
    <cfRule type="cellIs" priority="2" operator="equal" dxfId="1">
      <formula>"High"</formula>
    </cfRule>
    <cfRule type="cellIs" priority="3" operator="equal" dxfId="2">
      <formula>"Not Yet Classified"</formula>
    </cfRule>
    <cfRule type="cellIs" priority="4" operator="equal" dxfId="3">
      <formula>"Minimal"</formula>
    </cfRule>
    <cfRule type="cellIs" priority="5" operator="equal" dxfId="4">
      <formula>"Limited"</formula>
    </cfRule>
    <cfRule type="cellIs" priority="6" operator="equal" dxfId="5">
      <formula>"GPAI"</formula>
    </cfRule>
  </conditionalFormatting>
  <conditionalFormatting sqref="J3:J52">
    <cfRule type="cellIs" priority="7" operator="equal" dxfId="6">
      <formula>"Yes"</formula>
    </cfRule>
  </conditionalFormatting>
  <conditionalFormatting sqref="L3:L52">
    <cfRule type="cellIs" priority="8" operator="equal" dxfId="7">
      <formula>"Yes"</formula>
    </cfRule>
  </conditionalFormatting>
  <dataValidations count="6">
    <dataValidation sqref="H3:H52" showDropDown="0" showInputMessage="0" showErrorMessage="0" allowBlank="1" promptTitle="AI Act Role" prompt="Select your organisation's role under the EU AI Act" type="list">
      <formula1>"Provider,Deployer,Importer,Distributor,Authorised Representative"</formula1>
    </dataValidation>
    <dataValidation sqref="I3:I52" showDropDown="0" showInputMessage="0" showErrorMessage="0" allowBlank="1" promptTitle="Deployment Status" prompt="Current lifecycle stage of this AI system" type="list">
      <formula1>"Planning,Development,Testing,Production,Retired"</formula1>
    </dataValidation>
    <dataValidation sqref="J3:J52" showDropDown="0" showInputMessage="0" showErrorMessage="0" allowBlank="1" promptTitle="EU Market" prompt="Does this system operate in or affect the EU market? If Yes, EU AI Act applies." type="list">
      <formula1>"Yes,No"</formula1>
    </dataValidation>
    <dataValidation sqref="K3:K52" showDropDown="0" showInputMessage="0" showErrorMessage="0" allowBlank="1" promptTitle="Risk Level" prompt="Use the Risk Classification Worksheet to determine this level" type="list">
      <formula1>"Prohibited,High,Limited,GPAI,GPAI (Systemic),Minimal,Not Yet Classified"</formula1>
    </dataValidation>
    <dataValidation sqref="L3:L52" showDropDown="0" showInputMessage="0" showErrorMessage="0" allowBlank="1" promptTitle="Personal Data" prompt="Does this system process personal data? If Yes, GDPR/KVKK obligations apply alongside AI Act." type="list">
      <formula1>"Yes,No,Unknown"</formula1>
    </dataValidation>
    <dataValidation sqref="M3:M52" showDropDown="0" showInputMessage="0" showErrorMessage="0" allowBlank="1" promptTitle="Data Types" prompt="Select the primary data type. Use Notes column for additional types." type="list">
      <formula1>"Biometric,Health,Financial,Location,Behavioural,Employment,Criminal,Children,Political,None,Other"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2986C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3" customWidth="1" min="5" max="5"/>
    <col width="30" customWidth="1" min="6" max="6"/>
    <col width="15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3" t="inlineStr">
        <is>
          <t>HEXIS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24" t="inlineStr">
        <is>
          <t>AI System Inventory Dashboard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25" t="inlineStr">
        <is>
          <t>Auto-calculated from the Inventory sheet</t>
        </is>
      </c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5" t="inlineStr">
        <is>
          <t>KEY METRICS</t>
        </is>
      </c>
      <c r="C6" s="1" t="n"/>
      <c r="D6" s="1" t="n"/>
      <c r="E6" s="1" t="n"/>
      <c r="F6" s="5" t="inlineStr">
        <is>
          <t>INVENTORY READINESS</t>
        </is>
      </c>
      <c r="G6" s="1" t="n"/>
      <c r="H6" s="1" t="n"/>
    </row>
    <row r="7">
      <c r="A7" s="1" t="n"/>
      <c r="B7" s="26" t="inlineStr">
        <is>
          <t>Total Systems Registered</t>
        </is>
      </c>
      <c r="C7" s="27">
        <f>COUNTA(Inventory!B3:B52)</f>
        <v/>
      </c>
      <c r="D7" s="1" t="n"/>
      <c r="E7" s="1" t="n"/>
      <c r="F7" s="1" t="n"/>
      <c r="G7" s="28">
        <f>IF(C7&gt;0,(C7-C10)/C7,0)</f>
        <v/>
      </c>
      <c r="H7" s="1" t="n"/>
    </row>
    <row r="8">
      <c r="A8" s="1" t="n"/>
      <c r="B8" s="26" t="inlineStr">
        <is>
          <t>Systems in Production</t>
        </is>
      </c>
      <c r="C8" s="27">
        <f>COUNTIF(Inventory!I3:I52,"Production")</f>
        <v/>
      </c>
      <c r="D8" s="1" t="n"/>
      <c r="E8" s="1" t="n"/>
      <c r="F8" s="10" t="inlineStr">
        <is>
          <t>Systems classified / Total registered</t>
        </is>
      </c>
      <c r="G8" s="1" t="n"/>
      <c r="H8" s="1" t="n"/>
    </row>
    <row r="9">
      <c r="A9" s="1" t="n"/>
      <c r="B9" s="26" t="inlineStr">
        <is>
          <t>High-Risk Systems</t>
        </is>
      </c>
      <c r="C9" s="27">
        <f>COUNTIF(Inventory!K3:K52,"High")</f>
        <v/>
      </c>
      <c r="D9" s="1" t="n"/>
      <c r="E9" s="1" t="n"/>
      <c r="F9" s="1" t="n"/>
      <c r="G9" s="1" t="n"/>
      <c r="H9" s="1" t="n"/>
    </row>
    <row r="10">
      <c r="A10" s="1" t="n"/>
      <c r="B10" s="26" t="inlineStr">
        <is>
          <t>Not Yet Classified</t>
        </is>
      </c>
      <c r="C10" s="27">
        <f>COUNTIF(Inventory!K3:K52,"Not Yet Classified")</f>
        <v/>
      </c>
      <c r="D10" s="1" t="n"/>
      <c r="E10" s="1" t="n"/>
      <c r="F10" s="1" t="n"/>
      <c r="G10" s="1" t="n"/>
      <c r="H10" s="1" t="n"/>
    </row>
    <row r="11">
      <c r="A11" s="1" t="n"/>
      <c r="B11" s="26" t="inlineStr">
        <is>
          <t>Processing Personal Data</t>
        </is>
      </c>
      <c r="C11" s="27">
        <f>COUNTIF(Inventory!L3:L52,"Yes")</f>
        <v/>
      </c>
      <c r="D11" s="1" t="n"/>
      <c r="E11" s="1" t="n"/>
      <c r="F11" s="1" t="n"/>
      <c r="G11" s="1" t="n"/>
      <c r="H11" s="1" t="n"/>
    </row>
    <row r="12">
      <c r="A12" s="1" t="n"/>
      <c r="B12" s="26" t="inlineStr">
        <is>
          <t>Serving EU Market</t>
        </is>
      </c>
      <c r="C12" s="27">
        <f>COUNTIF(Inventory!J3:J52,"Yes")</f>
        <v/>
      </c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5" t="inlineStr">
        <is>
          <t>RISK LEVEL DISTRIBUTION</t>
        </is>
      </c>
      <c r="C14" s="1" t="n"/>
      <c r="D14" s="1" t="n"/>
      <c r="E14" s="1" t="n"/>
      <c r="F14" s="5" t="inlineStr">
        <is>
          <t>DEPLOYMENT STATUS</t>
        </is>
      </c>
      <c r="G14" s="1" t="n"/>
      <c r="H14" s="1" t="n"/>
    </row>
    <row r="15">
      <c r="A15" s="1" t="n"/>
      <c r="B15" s="29" t="inlineStr">
        <is>
          <t>Prohibited</t>
        </is>
      </c>
      <c r="C15" s="30">
        <f>COUNTIF(Inventory!K3:K52,"Prohibited")</f>
        <v/>
      </c>
      <c r="D15" s="31">
        <f>IF(C7&gt;0,C15/C7,0)</f>
        <v/>
      </c>
      <c r="E15" s="1" t="n"/>
      <c r="F15" s="29" t="inlineStr">
        <is>
          <t>Planning</t>
        </is>
      </c>
      <c r="G15" s="30">
        <f>COUNTIF(Inventory!I3:I52,"Planning")</f>
        <v/>
      </c>
      <c r="H15" s="1" t="n"/>
    </row>
    <row r="16">
      <c r="A16" s="1" t="n"/>
      <c r="B16" s="29" t="inlineStr">
        <is>
          <t>High</t>
        </is>
      </c>
      <c r="C16" s="30">
        <f>COUNTIF(Inventory!K3:K52,"High")</f>
        <v/>
      </c>
      <c r="D16" s="31">
        <f>IF(C7&gt;0,C16/C7,0)</f>
        <v/>
      </c>
      <c r="E16" s="1" t="n"/>
      <c r="F16" s="29" t="inlineStr">
        <is>
          <t>Development</t>
        </is>
      </c>
      <c r="G16" s="30">
        <f>COUNTIF(Inventory!I3:I52,"Development")</f>
        <v/>
      </c>
      <c r="H16" s="1" t="n"/>
    </row>
    <row r="17">
      <c r="A17" s="1" t="n"/>
      <c r="B17" s="29" t="inlineStr">
        <is>
          <t>Limited</t>
        </is>
      </c>
      <c r="C17" s="30">
        <f>COUNTIF(Inventory!K3:K52,"Limited")</f>
        <v/>
      </c>
      <c r="D17" s="31">
        <f>IF(C7&gt;0,C17/C7,0)</f>
        <v/>
      </c>
      <c r="E17" s="1" t="n"/>
      <c r="F17" s="29" t="inlineStr">
        <is>
          <t>Testing</t>
        </is>
      </c>
      <c r="G17" s="30">
        <f>COUNTIF(Inventory!I3:I52,"Testing")</f>
        <v/>
      </c>
      <c r="H17" s="1" t="n"/>
    </row>
    <row r="18">
      <c r="A18" s="1" t="n"/>
      <c r="B18" s="29" t="inlineStr">
        <is>
          <t>GPAI</t>
        </is>
      </c>
      <c r="C18" s="30">
        <f>COUNTIF(Inventory!K3:K52,"GPAI")</f>
        <v/>
      </c>
      <c r="D18" s="31">
        <f>IF(C7&gt;0,C18/C7,0)</f>
        <v/>
      </c>
      <c r="E18" s="1" t="n"/>
      <c r="F18" s="29" t="inlineStr">
        <is>
          <t>Production</t>
        </is>
      </c>
      <c r="G18" s="30">
        <f>COUNTIF(Inventory!I3:I52,"Production")</f>
        <v/>
      </c>
      <c r="H18" s="1" t="n"/>
    </row>
    <row r="19">
      <c r="A19" s="1" t="n"/>
      <c r="B19" s="29" t="inlineStr">
        <is>
          <t>Minimal</t>
        </is>
      </c>
      <c r="C19" s="30">
        <f>COUNTIF(Inventory!K3:K52,"Minimal")</f>
        <v/>
      </c>
      <c r="D19" s="31">
        <f>IF(C7&gt;0,C19/C7,0)</f>
        <v/>
      </c>
      <c r="E19" s="1" t="n"/>
      <c r="F19" s="29" t="inlineStr">
        <is>
          <t>Retired</t>
        </is>
      </c>
      <c r="G19" s="30">
        <f>COUNTIF(Inventory!I3:I52,"Retired")</f>
        <v/>
      </c>
      <c r="H19" s="1" t="n"/>
    </row>
    <row r="20">
      <c r="A20" s="1" t="n"/>
      <c r="B20" s="29" t="inlineStr">
        <is>
          <t>Not Yet Classified</t>
        </is>
      </c>
      <c r="C20" s="30">
        <f>COUNTIF(Inventory!K3:K52,"Not Yet Classified")</f>
        <v/>
      </c>
      <c r="D20" s="31">
        <f>IF(C7&gt;0,C20/C7,0)</f>
        <v/>
      </c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5" t="inlineStr">
        <is>
          <t>AI ACT ROLE DISTRIBUTION</t>
        </is>
      </c>
      <c r="C23" s="1" t="n"/>
      <c r="D23" s="1" t="n"/>
      <c r="E23" s="1" t="n"/>
      <c r="F23" s="5" t="inlineStr">
        <is>
          <t>DATA SENSITIVITY</t>
        </is>
      </c>
      <c r="G23" s="1" t="n"/>
      <c r="H23" s="1" t="n"/>
    </row>
    <row r="24">
      <c r="A24" s="1" t="n"/>
      <c r="B24" s="29" t="inlineStr">
        <is>
          <t>Provider</t>
        </is>
      </c>
      <c r="C24" s="30">
        <f>COUNTIF(Inventory!H3:H52,"Provider")</f>
        <v/>
      </c>
      <c r="D24" s="1" t="n"/>
      <c r="E24" s="1" t="n"/>
      <c r="F24" s="29" t="inlineStr">
        <is>
          <t>Processing Personal Data</t>
        </is>
      </c>
      <c r="G24" s="30">
        <f>COUNTIF(Inventory!L3:L52,"Yes")</f>
        <v/>
      </c>
      <c r="H24" s="1" t="n"/>
    </row>
    <row r="25">
      <c r="A25" s="1" t="n"/>
      <c r="B25" s="29" t="inlineStr">
        <is>
          <t>Deployer</t>
        </is>
      </c>
      <c r="C25" s="30">
        <f>COUNTIF(Inventory!H3:H52,"Deployer")</f>
        <v/>
      </c>
      <c r="D25" s="1" t="n"/>
      <c r="E25" s="1" t="n"/>
      <c r="F25" s="29" t="inlineStr">
        <is>
          <t>No Personal Data</t>
        </is>
      </c>
      <c r="G25" s="30">
        <f>COUNTIF(Inventory!L3:L52,"No")</f>
        <v/>
      </c>
      <c r="H25" s="1" t="n"/>
    </row>
    <row r="26">
      <c r="A26" s="1" t="n"/>
      <c r="B26" s="29" t="inlineStr">
        <is>
          <t>Importer</t>
        </is>
      </c>
      <c r="C26" s="30">
        <f>COUNTIF(Inventory!H3:H52,"Importer")</f>
        <v/>
      </c>
      <c r="D26" s="1" t="n"/>
      <c r="E26" s="1" t="n"/>
      <c r="F26" s="29" t="inlineStr">
        <is>
          <t>Data Status Unknown</t>
        </is>
      </c>
      <c r="G26" s="30">
        <f>COUNTIF(Inventory!L3:L52,"Unknown")</f>
        <v/>
      </c>
      <c r="H26" s="1" t="n"/>
    </row>
    <row r="27">
      <c r="A27" s="1" t="n"/>
      <c r="B27" s="29" t="inlineStr">
        <is>
          <t>Distributor</t>
        </is>
      </c>
      <c r="C27" s="30">
        <f>COUNTIF(Inventory!H3:H52,"Distributor")</f>
        <v/>
      </c>
      <c r="D27" s="1" t="n"/>
      <c r="E27" s="1" t="n"/>
      <c r="F27" s="1" t="n"/>
      <c r="G27" s="1" t="n"/>
      <c r="H27" s="1" t="n"/>
    </row>
    <row r="28">
      <c r="A28" s="1" t="n"/>
      <c r="B28" s="29" t="inlineStr">
        <is>
          <t>Authorised Representative</t>
        </is>
      </c>
      <c r="C28" s="30">
        <f>COUNTIF(Inventory!H3:H52,"Authorised Representative")</f>
        <v/>
      </c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5" t="inlineStr">
        <is>
          <t>COMPLIANCE ALERTS</t>
        </is>
      </c>
      <c r="C31" s="1" t="n"/>
      <c r="D31" s="1" t="n"/>
      <c r="E31" s="1" t="n"/>
      <c r="F31" s="5" t="inlineStr">
        <is>
          <t>EU DATABASE REGISTRATION</t>
        </is>
      </c>
      <c r="G31" s="1" t="n"/>
      <c r="H31" s="1" t="n"/>
    </row>
    <row r="32">
      <c r="A32" s="1" t="n"/>
      <c r="B32" s="29" t="inlineStr">
        <is>
          <t>Systems in EU market but not yet classified</t>
        </is>
      </c>
      <c r="C32" s="32">
        <f>COUNTIFS(Inventory!J3:J52,"Yes",Inventory!K3:K52,"Not Yet Classified")</f>
        <v/>
      </c>
      <c r="D32" s="1" t="n"/>
      <c r="E32" s="1" t="n"/>
      <c r="F32" s="29" t="inlineStr">
        <is>
          <t>High-risk systems (need registration)</t>
        </is>
      </c>
      <c r="G32" s="30">
        <f>COUNTIF(Inventory!K3:K52,"High")</f>
        <v/>
      </c>
      <c r="H32" s="1" t="n"/>
    </row>
    <row r="33">
      <c r="A33" s="1" t="n"/>
      <c r="B33" s="29" t="inlineStr">
        <is>
          <t>High-risk systems not in production yet</t>
        </is>
      </c>
      <c r="C33" s="33">
        <f>COUNTIFS(Inventory!K3:K52,"High",Inventory!I3:I52,"&lt;&gt;Production")</f>
        <v/>
      </c>
      <c r="D33" s="1" t="n"/>
      <c r="E33" s="1" t="n"/>
      <c r="F33" s="29" t="inlineStr">
        <is>
          <t>GPAI systems (may need registration)</t>
        </is>
      </c>
      <c r="G33" s="30">
        <f>COUNTIF(Inventory!K3:K52,"GPAI")</f>
        <v/>
      </c>
      <c r="H33" s="1" t="n"/>
    </row>
    <row r="34">
      <c r="A34" s="1" t="n"/>
      <c r="B34" s="29" t="inlineStr">
        <is>
          <t>Systems with personal data but unknown classification</t>
        </is>
      </c>
      <c r="C34" s="32">
        <f>COUNTIFS(Inventory!L3:L52,"Yes",Inventory!K3:K52,"Not Yet Classified")</f>
        <v/>
      </c>
      <c r="D34" s="1" t="n"/>
      <c r="E34" s="1" t="n"/>
      <c r="F34" s="29" t="inlineStr">
        <is>
          <t>Registered in EU Database</t>
        </is>
      </c>
      <c r="G34" s="30">
        <f>COUNTA('EU Database Registration'!N4:N23)</f>
        <v/>
      </c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0" t="inlineStr">
        <is>
          <t>hexis.center  ·  AI System Inventory  ·  Dashboard auto-updates when Inventory is modified</t>
        </is>
      </c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tabColor rgb="001C1E23"/>
    <outlinePr summaryBelow="1" summaryRight="1"/>
    <pageSetUpPr/>
  </sheetPr>
  <dimension ref="A1:P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2" customWidth="1" min="4" max="4"/>
    <col width="40" customWidth="1" min="5" max="5"/>
    <col width="15" customWidth="1" min="6" max="6"/>
    <col width="14" customWidth="1" min="7" max="7"/>
    <col width="12" customWidth="1" min="8" max="8"/>
    <col width="25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15" customWidth="1" min="15" max="15"/>
    <col width="30" customWidth="1" min="16" max="16"/>
  </cols>
  <sheetData>
    <row r="1" ht="48" customHeight="1">
      <c r="A1" s="34" t="inlineStr">
        <is>
          <t>EU AI DATABASE REGISTRATION — Fields based on Annex VIII of EU AI Act. Complete this sheet for each HIGH-RISK system requiring registration under Article 49. Link each row to the main Inventory sheet using the System ID.</t>
        </is>
      </c>
    </row>
    <row r="2" ht="32" customHeight="1">
      <c r="A2" s="11" t="inlineStr">
        <is>
          <t>System ID</t>
        </is>
      </c>
      <c r="B2" s="11" t="inlineStr">
        <is>
          <t>Trade Name / Model</t>
        </is>
      </c>
      <c r="C2" s="11" t="inlineStr">
        <is>
          <t>Provider Name &amp; Contact</t>
        </is>
      </c>
      <c r="D2" s="11" t="inlineStr">
        <is>
          <t>Authorised Representative</t>
        </is>
      </c>
      <c r="E2" s="11" t="inlineStr">
        <is>
          <t>Intended Purpose (Detail)</t>
        </is>
      </c>
      <c r="F2" s="11" t="inlineStr">
        <is>
          <t>System Status</t>
        </is>
      </c>
      <c r="G2" s="11" t="inlineStr">
        <is>
          <t>Risk Level</t>
        </is>
      </c>
      <c r="H2" s="11" t="inlineStr">
        <is>
          <t>CE Marking</t>
        </is>
      </c>
      <c r="I2" s="11" t="inlineStr">
        <is>
          <t>Conformity Assessment Body</t>
        </is>
      </c>
      <c r="J2" s="11" t="inlineStr">
        <is>
          <t>Conformity Assessment Procedure</t>
        </is>
      </c>
      <c r="K2" s="11" t="inlineStr">
        <is>
          <t>Member States of Use</t>
        </is>
      </c>
      <c r="L2" s="11" t="inlineStr">
        <is>
          <t>GPAI Model Used</t>
        </is>
      </c>
      <c r="M2" s="11" t="inlineStr">
        <is>
          <t>GPAI Sub-Type</t>
        </is>
      </c>
      <c r="N2" s="11" t="inlineStr">
        <is>
          <t>EU Database Registration #</t>
        </is>
      </c>
      <c r="O2" s="11" t="inlineStr">
        <is>
          <t>Registration Date</t>
        </is>
      </c>
      <c r="P2" s="11" t="inlineStr">
        <is>
          <t>Notes</t>
        </is>
      </c>
    </row>
    <row r="3" ht="28" customHeight="1">
      <c r="A3" s="12" t="inlineStr">
        <is>
          <t>From Inventory</t>
        </is>
      </c>
      <c r="B3" s="12" t="inlineStr">
        <is>
          <t>Commercial product name</t>
        </is>
      </c>
      <c r="C3" s="12" t="inlineStr">
        <is>
          <t>Legal name, address, email</t>
        </is>
      </c>
      <c r="D3" s="12" t="inlineStr">
        <is>
          <t>If applicable (non-EU provider)</t>
        </is>
      </c>
      <c r="E3" s="12" t="inlineStr">
        <is>
          <t>More detailed than Inventory — describe specific use context</t>
        </is>
      </c>
      <c r="F3" s="12" t="inlineStr">
        <is>
          <t>Active / Suspended / Withdrawn</t>
        </is>
      </c>
      <c r="G3" s="12" t="inlineStr">
        <is>
          <t>From Inventory</t>
        </is>
      </c>
      <c r="H3" s="12" t="inlineStr">
        <is>
          <t>Affixed / Pending / N/A</t>
        </is>
      </c>
      <c r="I3" s="12" t="inlineStr">
        <is>
          <t>Name of notified body (if applicable)</t>
        </is>
      </c>
      <c r="J3" s="12" t="inlineStr">
        <is>
          <t>Self-assessment / Third-party / N/A</t>
        </is>
      </c>
      <c r="K3" s="12" t="inlineStr">
        <is>
          <t>e.g. All EU / DE, FR, NL</t>
        </is>
      </c>
      <c r="L3" s="12" t="inlineStr">
        <is>
          <t>Name and version of GPAI model</t>
        </is>
      </c>
      <c r="M3" s="12" t="inlineStr">
        <is>
          <t>Select type</t>
        </is>
      </c>
      <c r="N3" s="12" t="inlineStr">
        <is>
          <t>Registration ID from EU DB</t>
        </is>
      </c>
      <c r="O3" s="12" t="inlineStr">
        <is>
          <t>DD/MM/YYYY</t>
        </is>
      </c>
      <c r="P3" s="12" t="inlineStr">
        <is>
          <t>Additional context</t>
        </is>
      </c>
    </row>
    <row r="4">
      <c r="A4" s="13" t="inlineStr">
        <is>
          <t>AI-001</t>
        </is>
      </c>
      <c r="B4" s="14" t="inlineStr">
        <is>
          <t>TalentAI Screener Pro v3.1</t>
        </is>
      </c>
      <c r="C4" s="14" t="inlineStr">
        <is>
          <t>TalentAI Solutions Ltd., 10 Tech Park, Dublin, Ireland — contact@talentai.example.com</t>
        </is>
      </c>
      <c r="D4" s="14" t="inlineStr">
        <is>
          <t>N/A (EU-based provider)</t>
        </is>
      </c>
      <c r="E4" s="14" t="inlineStr">
        <is>
          <t>Automated screening and ranking of job applicants by parsing CVs, extracting qualifications, and scoring candidates against role requirements. Used in recruitment for all EU-based open positions.</t>
        </is>
      </c>
      <c r="F4" s="14" t="inlineStr">
        <is>
          <t>Active</t>
        </is>
      </c>
      <c r="G4" s="14" t="inlineStr">
        <is>
          <t>High</t>
        </is>
      </c>
      <c r="H4" s="14" t="inlineStr">
        <is>
          <t>Affixed</t>
        </is>
      </c>
      <c r="I4" s="14" t="inlineStr">
        <is>
          <t>TÜV SÜD AI Assessment Centre</t>
        </is>
      </c>
      <c r="J4" s="14" t="inlineStr">
        <is>
          <t>Third-party (Annex VII)</t>
        </is>
      </c>
      <c r="K4" s="14" t="inlineStr">
        <is>
          <t>All EU</t>
        </is>
      </c>
      <c r="L4" s="14" t="inlineStr">
        <is>
          <t>N/A</t>
        </is>
      </c>
      <c r="M4" s="14" t="inlineStr">
        <is>
          <t>N/A</t>
        </is>
      </c>
      <c r="N4" s="14" t="inlineStr">
        <is>
          <t>EU-AI-DB-2026-00142</t>
        </is>
      </c>
      <c r="O4" s="15" t="inlineStr">
        <is>
          <t>20/01/2026</t>
        </is>
      </c>
      <c r="P4" s="16" t="inlineStr">
        <is>
          <t>EXAMPLE — Delete before use. Annex III §4(a) high-risk. Third-party assessment required (biometric processing).</t>
        </is>
      </c>
    </row>
    <row r="5">
      <c r="A5" s="13" t="inlineStr">
        <is>
          <t>AI-003</t>
        </is>
      </c>
      <c r="B5" s="14" t="inlineStr">
        <is>
          <t>FinSecure FraudShield v2.0</t>
        </is>
      </c>
      <c r="C5" s="14" t="inlineStr">
        <is>
          <t>FinSecure Ltd., Levent, Istanbul, Turkey — compliance@finsecure.example.com</t>
        </is>
      </c>
      <c r="D5" s="14" t="inlineStr">
        <is>
          <t>EURepp GmbH, Berlin, Germany (authorised representative for non-EU provider)</t>
        </is>
      </c>
      <c r="E5" s="14" t="inlineStr">
        <is>
          <t>Real-time evaluation of payment transactions for fraud indicators and creditworthiness scoring. Deployed across EU banking partners for PSD2-compliant transaction monitoring.</t>
        </is>
      </c>
      <c r="F5" s="14" t="inlineStr">
        <is>
          <t>Active</t>
        </is>
      </c>
      <c r="G5" s="14" t="inlineStr">
        <is>
          <t>High</t>
        </is>
      </c>
      <c r="H5" s="14" t="inlineStr">
        <is>
          <t>Pending</t>
        </is>
      </c>
      <c r="I5" s="14" t="inlineStr">
        <is>
          <t>N/A (self-assessment in progress)</t>
        </is>
      </c>
      <c r="J5" s="14" t="inlineStr">
        <is>
          <t>Self-assessment (Annex VI)</t>
        </is>
      </c>
      <c r="K5" s="14" t="inlineStr">
        <is>
          <t>DE, FR, NL, BE</t>
        </is>
      </c>
      <c r="L5" s="14" t="inlineStr">
        <is>
          <t>N/A</t>
        </is>
      </c>
      <c r="M5" s="14" t="inlineStr">
        <is>
          <t>N/A</t>
        </is>
      </c>
      <c r="N5" s="14" t="inlineStr"/>
      <c r="O5" s="15" t="inlineStr"/>
      <c r="P5" s="16" t="inlineStr">
        <is>
          <t>EXAMPLE — Delete before use. Annex III §5(b) high-risk (creditworthiness evaluation — fraud detection alone is exempt). Non-EU provider → authorised representative required (Art. 22). CE marking pending conformity assessment.</t>
        </is>
      </c>
    </row>
    <row r="6" ht="28" customHeight="1">
      <c r="A6" s="35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2" t="n"/>
      <c r="P6" s="21" t="n"/>
    </row>
    <row r="7" ht="28" customHeight="1">
      <c r="A7" s="36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9" t="n"/>
      <c r="P7" s="18" t="n"/>
    </row>
    <row r="8" ht="28" customHeight="1">
      <c r="A8" s="35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2" t="n"/>
      <c r="P8" s="21" t="n"/>
    </row>
    <row r="9" ht="28" customHeight="1">
      <c r="A9" s="36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9" t="n"/>
      <c r="P9" s="18" t="n"/>
    </row>
    <row r="10" ht="28" customHeight="1">
      <c r="A10" s="35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2" t="n"/>
      <c r="P10" s="21" t="n"/>
    </row>
    <row r="11" ht="28" customHeight="1">
      <c r="A11" s="36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9" t="n"/>
      <c r="P11" s="18" t="n"/>
    </row>
    <row r="12" ht="28" customHeight="1">
      <c r="A12" s="35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2" t="n"/>
      <c r="P12" s="21" t="n"/>
    </row>
    <row r="13" ht="28" customHeight="1">
      <c r="A13" s="36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 t="n"/>
      <c r="P13" s="18" t="n"/>
    </row>
    <row r="14" ht="28" customHeight="1">
      <c r="A14" s="35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  <c r="P14" s="21" t="n"/>
    </row>
    <row r="15" ht="28" customHeight="1">
      <c r="A15" s="36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  <c r="P15" s="18" t="n"/>
    </row>
    <row r="16" ht="28" customHeight="1">
      <c r="A16" s="35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2" t="n"/>
      <c r="P16" s="21" t="n"/>
    </row>
    <row r="17" ht="28" customHeight="1">
      <c r="A17" s="36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9" t="n"/>
      <c r="P17" s="18" t="n"/>
    </row>
    <row r="18" ht="28" customHeight="1">
      <c r="A18" s="35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2" t="n"/>
      <c r="P18" s="21" t="n"/>
    </row>
    <row r="19" ht="28" customHeight="1">
      <c r="A19" s="36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</row>
    <row r="20" ht="28" customHeight="1">
      <c r="A20" s="35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2" t="n"/>
      <c r="P20" s="21" t="n"/>
    </row>
    <row r="21" ht="28" customHeight="1">
      <c r="A21" s="36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9" t="n"/>
      <c r="P21" s="18" t="n"/>
    </row>
    <row r="22" ht="28" customHeight="1">
      <c r="A22" s="35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2" t="n"/>
      <c r="P22" s="21" t="n"/>
    </row>
    <row r="23" ht="28" customHeight="1">
      <c r="A23" s="36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9" t="n"/>
      <c r="P23" s="18" t="n"/>
    </row>
  </sheetData>
  <autoFilter ref="A2:P23"/>
  <mergeCells count="1">
    <mergeCell ref="A1:P1"/>
  </mergeCells>
  <dataValidations count="6">
    <dataValidation sqref="F4:F23" showDropDown="0" showInputMessage="0" showErrorMessage="0" allowBlank="1" promptTitle="System Status" prompt="Status in the EU database" type="list">
      <formula1>"Active,Suspended,Withdrawn"</formula1>
    </dataValidation>
    <dataValidation sqref="G4:G23" showDropDown="0" showInputMessage="0" showErrorMessage="0" allowBlank="1" promptTitle="Risk Level" prompt="Only High-risk and certain GPAI systems require EU database registration" type="list">
      <formula1>"High,GPAI"</formula1>
    </dataValidation>
    <dataValidation sqref="H4:H23" showDropDown="0" showInputMessage="0" showErrorMessage="0" allowBlank="1" promptTitle="CE Marking" prompt="CE marking status for the AI system" type="list">
      <formula1>"Affixed,Pending,N/A"</formula1>
    </dataValidation>
    <dataValidation sqref="J4:J23" showDropDown="0" showInputMessage="0" showErrorMessage="0" allowBlank="1" promptTitle="Conformity Assessment" prompt="Assessment procedure used (Art. 43)" type="list">
      <formula1>"Self-assessment (Annex VI),Third-party (Annex VII),N/A"</formula1>
    </dataValidation>
    <dataValidation sqref="M4:M23" showDropDown="0" showInputMessage="0" showErrorMessage="0" allowBlank="1" promptTitle="GPAI Sub-Type" prompt="Classify the GPAI model type. Select N/A if system does not use a GPAI model." type="list">
      <formula1>"N/A,GPAI — Provider (Art. 53),GPAI — Systemic Risk (Art. 55),GPAI — Deployer Only,GPAI — Open Source (Art. 53(2))"</formula1>
    </dataValidation>
    <dataValidation sqref="A4:A23" showDropDown="0" showInputMessage="0" showErrorMessage="0" allowBlank="1" promptTitle="System ID" prompt="Select a System ID from the Inventory sheet to link this registration record." type="list">
      <formula1>Inventory!$A$3:$A$52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2026-03-25T15:04:30Z</dcterms:created>
  <dcterms:modified xmlns:dcterms="http://purl.org/dc/terms/" xmlns:xsi="http://www.w3.org/2001/XMLSchema-instance" xsi:type="dcterms:W3CDTF">2026-03-25T15:04:30Z</dcterms:modified>
</cp:coreProperties>
</file>