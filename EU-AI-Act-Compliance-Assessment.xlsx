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bligations Map" sheetId="2" state="visible" r:id="rId2"/>
    <sheet xmlns:r="http://schemas.openxmlformats.org/officeDocument/2006/relationships" name="Gap Assessment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1" hidden="1">'Obligations Map'!$A$1:$J$26</definedName>
    <definedName name="_xlnm._FilterDatabase" localSheetId="2" hidden="1">'Gap Assessment'!$A$1:$M$9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Georgia"/>
      <b val="1"/>
      <color rgb="001C1E23"/>
      <sz val="16"/>
    </font>
    <font>
      <name val="Arial"/>
      <color rgb="00B2986C"/>
      <sz val="10"/>
    </font>
    <font>
      <name val="Arial"/>
      <b val="1"/>
      <color rgb="00B2986C"/>
      <sz val="9"/>
    </font>
    <font>
      <name val="Arial"/>
      <color rgb="001C1E23"/>
      <sz val="9"/>
    </font>
    <font>
      <name val="Arial"/>
      <color rgb="00686662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color rgb="003C763D"/>
      <sz val="8"/>
    </font>
    <font>
      <name val="Arial"/>
      <b val="1"/>
      <color rgb="008A6D3B"/>
      <sz val="8"/>
    </font>
    <font>
      <name val="Arial"/>
      <b val="1"/>
      <color rgb="00B45309"/>
      <sz val="8"/>
    </font>
    <font>
      <name val="Arial"/>
      <b val="1"/>
      <color rgb="001A5276"/>
      <sz val="8"/>
    </font>
    <font>
      <name val="Georgia"/>
      <b val="1"/>
      <color rgb="001C1E23"/>
      <sz val="14"/>
    </font>
    <font>
      <name val="Arial"/>
      <b val="1"/>
      <color rgb="00B2986C"/>
      <sz val="10"/>
    </font>
    <font>
      <name val="Arial"/>
      <b val="1"/>
      <color rgb="001C1E23"/>
      <sz val="10"/>
    </font>
    <font>
      <name val="Arial"/>
      <b val="1"/>
      <color rgb="001C1E23"/>
      <sz val="9"/>
    </font>
  </fonts>
  <fills count="11">
    <fill>
      <patternFill/>
    </fill>
    <fill>
      <patternFill patternType="gray125"/>
    </fill>
    <fill>
      <patternFill patternType="solid">
        <fgColor rgb="00F5F0E8"/>
        <bgColor rgb="00F5F0E8"/>
      </patternFill>
    </fill>
    <fill>
      <patternFill patternType="solid">
        <fgColor rgb="001C1E23"/>
        <bgColor rgb="001C1E23"/>
      </patternFill>
    </fill>
    <fill>
      <patternFill patternType="solid">
        <fgColor rgb="00F8F7F5"/>
        <bgColor rgb="00F8F7F5"/>
      </patternFill>
    </fill>
    <fill>
      <patternFill patternType="solid">
        <fgColor rgb="00E8E6E2"/>
        <bgColor rgb="00E8E6E2"/>
      </patternFill>
    </fill>
    <fill>
      <patternFill patternType="solid">
        <fgColor rgb="00DFF0D8"/>
        <bgColor rgb="00DFF0D8"/>
      </patternFill>
    </fill>
    <fill>
      <patternFill patternType="solid">
        <fgColor rgb="00FCF8E3"/>
        <bgColor rgb="00FCF8E3"/>
      </patternFill>
    </fill>
    <fill>
      <patternFill patternType="solid">
        <fgColor rgb="00FFFFFF"/>
        <bgColor rgb="00FFFFFF"/>
      </patternFill>
    </fill>
    <fill>
      <patternFill patternType="solid">
        <fgColor rgb="00FCF0E4"/>
        <bgColor rgb="00FCF0E4"/>
      </patternFill>
    </fill>
    <fill>
      <patternFill patternType="solid">
        <fgColor rgb="00D6E9F8"/>
        <bgColor rgb="00D6E9F8"/>
      </patternFill>
    </fill>
  </fills>
  <borders count="3">
    <border>
      <left/>
      <right/>
      <top/>
      <bottom/>
      <diagonal/>
    </border>
    <border>
      <left style="thin">
        <color rgb="001C1E23"/>
      </left>
      <right style="thin">
        <color rgb="001C1E23"/>
      </right>
      <bottom style="medium">
        <color rgb="001C1E23"/>
      </bottom>
    </border>
    <border>
      <left style="thin">
        <color rgb="00E8E6E2"/>
      </left>
      <right style="thin">
        <color rgb="00E8E6E2"/>
      </right>
      <top style="thin">
        <color rgb="00E8E6E2"/>
      </top>
      <bottom style="thin">
        <color rgb="00E8E6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2" borderId="0" pivotButton="0" quotePrefix="0" xfId="0"/>
    <xf numFmtId="0" fontId="4" fillId="0" borderId="0" pivotButton="0" quotePrefix="0" xfId="0"/>
    <xf numFmtId="0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164" fontId="4" fillId="4" borderId="2" applyAlignment="1" pivotButton="0" quotePrefix="0" xfId="0">
      <alignment vertical="center" wrapText="1"/>
    </xf>
    <xf numFmtId="164" fontId="4" fillId="8" borderId="2" applyAlignment="1" pivotButton="0" quotePrefix="0" xfId="0">
      <alignment vertical="center" wrapText="1"/>
    </xf>
    <xf numFmtId="165" fontId="14" fillId="0" borderId="0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b val="1"/>
        <color rgb="003C763D"/>
      </font>
      <fill>
        <patternFill patternType="solid">
          <fgColor rgb="00DFF0D8"/>
          <bgColor rgb="00DFF0D8"/>
        </patternFill>
      </fill>
    </dxf>
    <dxf>
      <font>
        <b val="1"/>
        <color rgb="008A6D3B"/>
      </font>
      <fill>
        <patternFill patternType="solid">
          <fgColor rgb="00FCF8E3"/>
          <bgColor rgb="00FCF8E3"/>
        </patternFill>
      </fill>
    </dxf>
    <dxf>
      <font>
        <b val="1"/>
        <color rgb="00A94442"/>
      </font>
      <fill>
        <patternFill patternType="solid">
          <fgColor rgb="00F2DEDE"/>
          <bgColor rgb="00F2DEDE"/>
        </patternFill>
      </fill>
    </dxf>
    <dxf>
      <font>
        <color rgb="00686662"/>
      </font>
      <fill>
        <patternFill patternType="solid">
          <fgColor rgb="00E8E6E2"/>
          <bgColor rgb="00E8E6E2"/>
        </patternFill>
      </fill>
    </dxf>
    <dxf>
      <font>
        <b val="1"/>
        <color rgb="00B45309"/>
      </font>
      <fill>
        <patternFill patternType="solid">
          <fgColor rgb="00FCF0E4"/>
          <bgColor rgb="00FCF0E4"/>
        </patternFill>
      </fill>
    </dxf>
    <dxf>
      <font>
        <b val="1"/>
        <color rgb="001A5276"/>
      </font>
      <fill>
        <patternFill patternType="solid">
          <fgColor rgb="00D6E9F8"/>
          <bgColor rgb="00D6E9F8"/>
        </patternFill>
      </fill>
    </dxf>
    <dxf>
      <font>
        <b val="1"/>
        <color rgb="006C3483"/>
      </font>
      <fill>
        <patternFill patternType="solid">
          <fgColor rgb="00E8DAEF"/>
          <bgColor rgb="00E8DAEF"/>
        </patternFill>
      </fill>
    </dxf>
    <dxf>
      <font>
        <color rgb="003C763D"/>
      </font>
      <fill>
        <patternFill patternType="solid">
          <fgColor rgb="00DFF0D8"/>
          <bgColor rgb="00DFF0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986C"/>
    <outlinePr summaryBelow="1" summaryRight="1"/>
    <pageSetUpPr fitToPage="1"/>
  </sheetPr>
  <dimension ref="B1:B40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 ht="24" customHeight="1">
      <c r="B1" s="1" t="inlineStr">
        <is>
          <t>HEXIS — EU AI Act Compliance Assessment</t>
        </is>
      </c>
    </row>
    <row r="2" ht="24" customHeight="1">
      <c r="B2" s="2" t="inlineStr">
        <is>
          <t>EU AI Act Compliance Starter Kit · Template #3 of 4</t>
        </is>
      </c>
    </row>
    <row r="3" ht="12" customHeight="1"/>
    <row r="4" ht="24" customHeight="1">
      <c r="B4" s="3" t="inlineStr">
        <is>
          <t>PURPOSE</t>
        </is>
      </c>
    </row>
    <row r="5" ht="38" customHeight="1">
      <c r="B5" s="4" t="inlineStr">
        <is>
          <t>This template helps you assess your current compliance status against EU AI Act obligations. Complete one row per AI system per obligation area to identify gaps and prioritise remediation.</t>
        </is>
      </c>
    </row>
    <row r="6" ht="12" customHeight="1"/>
    <row r="7" ht="24" customHeight="1">
      <c r="B7" s="3" t="inlineStr">
        <is>
          <t>PREREQUISITE TEMPLATES</t>
        </is>
      </c>
    </row>
    <row r="8" ht="24" customHeight="1">
      <c r="B8" s="4" t="inlineStr">
        <is>
          <t>1. AI System Inventory — identifies which AI systems you operate (Template #1)</t>
        </is>
      </c>
    </row>
    <row r="9" ht="24" customHeight="1">
      <c r="B9" s="4" t="inlineStr">
        <is>
          <t>2. Risk Classification Worksheet — determines risk level per system (Template #2)</t>
        </is>
      </c>
    </row>
    <row r="10" ht="24" customHeight="1">
      <c r="B10" s="4" t="inlineStr">
        <is>
          <t>Use those results to populate this assessment.</t>
        </is>
      </c>
    </row>
    <row r="11" ht="12" customHeight="1"/>
    <row r="12" ht="24" customHeight="1">
      <c r="B12" s="3" t="inlineStr">
        <is>
          <t>HOW TO USE</t>
        </is>
      </c>
    </row>
    <row r="13" ht="24" customHeight="1">
      <c r="B13" s="4" t="inlineStr">
        <is>
          <t>Step 1: Review the Obligations Map sheet — understand which obligations apply to your risk level.</t>
        </is>
      </c>
    </row>
    <row r="14" ht="24" customHeight="1">
      <c r="B14" s="4" t="inlineStr">
        <is>
          <t>Step 2: For each AI system in your inventory, create a row in the Gap Assessment sheet.</t>
        </is>
      </c>
    </row>
    <row r="15" ht="38" customHeight="1">
      <c r="B15" s="4" t="inlineStr">
        <is>
          <t>Step 3: Rate your compliance status for each obligation area (Compliant / Partially Compliant / Non-Compliant / Not Applicable).</t>
        </is>
      </c>
    </row>
    <row r="16" ht="24" customHeight="1">
      <c r="B16" s="4" t="inlineStr">
        <is>
          <t>Step 4: Add evidence references and notes for each assessment.</t>
        </is>
      </c>
    </row>
    <row r="17" ht="24" customHeight="1">
      <c r="B17" s="4" t="inlineStr">
        <is>
          <t>Step 5: Review the Dashboard for a summary of your compliance posture.</t>
        </is>
      </c>
    </row>
    <row r="18" ht="12" customHeight="1"/>
    <row r="19" ht="24" customHeight="1">
      <c r="B19" s="3" t="inlineStr">
        <is>
          <t>COMPLIANCE STATUS DEFINITIONS</t>
        </is>
      </c>
    </row>
    <row r="20" ht="24" customHeight="1">
      <c r="B20" s="4" t="inlineStr">
        <is>
          <t>Compliant — Requirement fully met with documented evidence.</t>
        </is>
      </c>
    </row>
    <row r="21" ht="24" customHeight="1">
      <c r="B21" s="4" t="inlineStr">
        <is>
          <t>Partially Compliant — Some measures in place but gaps remain. Action needed.</t>
        </is>
      </c>
    </row>
    <row r="22" ht="24" customHeight="1">
      <c r="B22" s="4" t="inlineStr">
        <is>
          <t>Non-Compliant — Requirement not met. Immediate action required.</t>
        </is>
      </c>
    </row>
    <row r="23" ht="24" customHeight="1">
      <c r="B23" s="4" t="inlineStr">
        <is>
          <t>Not Applicable — Requirement does not apply to this system's risk level.</t>
        </is>
      </c>
    </row>
    <row r="24" ht="12" customHeight="1"/>
    <row r="25" ht="24" customHeight="1">
      <c r="B25" s="3" t="inlineStr">
        <is>
          <t>ASSESSMENT FREQUENCY</t>
        </is>
      </c>
    </row>
    <row r="26" ht="24" customHeight="1">
      <c r="B26" s="4" t="inlineStr">
        <is>
          <t>Initial assessment: Before compliance deadlines (see Quick Reference in Template #2).</t>
        </is>
      </c>
    </row>
    <row r="27" ht="24" customHeight="1">
      <c r="B27" s="4" t="inlineStr">
        <is>
          <t>Ongoing: Review at least annually, or when systems change materially.</t>
        </is>
      </c>
    </row>
    <row r="28" ht="12" customHeight="1"/>
    <row r="29" ht="24" customHeight="1">
      <c r="B29" s="3" t="inlineStr">
        <is>
          <t>MULTI-DOMAIN SYSTEMS</t>
        </is>
      </c>
    </row>
    <row r="30" ht="38" customHeight="1">
      <c r="B30" s="4" t="inlineStr">
        <is>
          <t>If a system falls under multiple Annex III areas (e.g., biometric + healthcare), create separate Gap Assessment rows per obligation area to ensure comprehensive coverage.</t>
        </is>
      </c>
    </row>
    <row r="31" ht="12" customHeight="1"/>
    <row r="32" ht="24" customHeight="1">
      <c r="B32" s="3" t="inlineStr">
        <is>
          <t>ORIENT FRAMEWORK ALIGNMENT</t>
        </is>
      </c>
    </row>
    <row r="33" ht="38" customHeight="1">
      <c r="B33" s="4" t="inlineStr">
        <is>
          <t>HEXIS ORIENT: Observe (inventory) → Risk (classify) → Identify (map obligations) → Evaluate (assess gaps) → Navigate (plan actions) → Track (monitor).</t>
        </is>
      </c>
    </row>
    <row r="34" ht="24" customHeight="1">
      <c r="B34" s="4" t="inlineStr">
        <is>
          <t>This template maps to the Identify and Evaluate stages.</t>
        </is>
      </c>
    </row>
    <row r="35" ht="12" customHeight="1"/>
    <row r="36" ht="24" customHeight="1">
      <c r="B36" s="3" t="inlineStr">
        <is>
          <t>LEGAL DISCLAIMER</t>
        </is>
      </c>
    </row>
    <row r="37" ht="38" customHeight="1">
      <c r="B37" s="4" t="inlineStr">
        <is>
          <t>This template provides a structured framework for self-assessment. It does not constitute legal advice. Consult qualified legal counsel for binding compliance determinations.</t>
        </is>
      </c>
    </row>
    <row r="38" ht="12" customHeight="1"/>
    <row r="39" ht="12" customHeight="1"/>
    <row r="40" ht="24" customHeight="1">
      <c r="B40" s="5" t="inlineStr">
        <is>
          <t>hexis.center · EU AI Act Compliance Starter Kit · v1.0</t>
        </is>
      </c>
    </row>
  </sheetData>
  <pageMargins left="0.5" right="0.5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C1E23"/>
    <outlinePr summaryBelow="1" summaryRight="1"/>
    <pageSetUpPr fitToPage="1"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40" customWidth="1" min="10" max="10"/>
  </cols>
  <sheetData>
    <row r="1" ht="44" customHeight="1">
      <c r="A1" s="6" t="inlineStr">
        <is>
          <t>Obligation Area</t>
        </is>
      </c>
      <c r="B1" s="6" t="inlineStr">
        <is>
          <t>EU AI Act Article(s)</t>
        </is>
      </c>
      <c r="C1" s="6" t="inlineStr">
        <is>
          <t>Description</t>
        </is>
      </c>
      <c r="D1" s="6" t="inlineStr">
        <is>
          <t>Prohibited
(Art. 5)</t>
        </is>
      </c>
      <c r="E1" s="6" t="inlineStr">
        <is>
          <t>High Risk
(Art. 6)</t>
        </is>
      </c>
      <c r="F1" s="6" t="inlineStr">
        <is>
          <t>Limited Risk
(Art. 50)</t>
        </is>
      </c>
      <c r="G1" s="6" t="inlineStr">
        <is>
          <t>GPAI
(Art. 51-56)</t>
        </is>
      </c>
      <c r="H1" s="6" t="inlineStr">
        <is>
          <t>Minimal Risk
(Art. 95)</t>
        </is>
      </c>
      <c r="I1" s="6" t="inlineStr">
        <is>
          <t>Compliance Deadline</t>
        </is>
      </c>
      <c r="J1" s="6" t="inlineStr">
        <is>
          <t>Key Evidence Required</t>
        </is>
      </c>
    </row>
    <row r="2" ht="28" customHeight="1">
      <c r="A2" s="7" t="inlineStr">
        <is>
          <t>AI Literacy &amp; Training</t>
        </is>
      </c>
      <c r="B2" s="7" t="inlineStr">
        <is>
          <t>Art. 4</t>
        </is>
      </c>
      <c r="C2" s="7" t="inlineStr">
        <is>
          <t>Ensure staff dealing with AI have sufficient AI literacy appropriate to their role and context.</t>
        </is>
      </c>
      <c r="D2" s="8" t="inlineStr">
        <is>
          <t>N/A</t>
        </is>
      </c>
      <c r="E2" s="9" t="inlineStr">
        <is>
          <t>Required</t>
        </is>
      </c>
      <c r="F2" s="9" t="inlineStr">
        <is>
          <t>Required</t>
        </is>
      </c>
      <c r="G2" s="9" t="inlineStr">
        <is>
          <t>Required</t>
        </is>
      </c>
      <c r="H2" s="10" t="inlineStr">
        <is>
          <t>Recommended</t>
        </is>
      </c>
      <c r="I2" s="7" t="inlineStr">
        <is>
          <t>2 Feb 2025</t>
        </is>
      </c>
      <c r="J2" s="7" t="inlineStr">
        <is>
          <t>Training records, literacy assessment results, training materials</t>
        </is>
      </c>
    </row>
    <row r="3" ht="42" customHeight="1">
      <c r="A3" s="11" t="inlineStr">
        <is>
          <t>Risk Management System</t>
        </is>
      </c>
      <c r="B3" s="11" t="inlineStr">
        <is>
          <t>Art. 9</t>
        </is>
      </c>
      <c r="C3" s="11" t="inlineStr">
        <is>
          <t>Establish, implement, document and maintain a risk management system throughout the AI system lifecycle.</t>
        </is>
      </c>
      <c r="D3" s="8" t="inlineStr">
        <is>
          <t>N/A</t>
        </is>
      </c>
      <c r="E3" s="9" t="inlineStr">
        <is>
          <t>Required</t>
        </is>
      </c>
      <c r="F3" s="8" t="inlineStr">
        <is>
          <t>N/A</t>
        </is>
      </c>
      <c r="G3" s="8" t="inlineStr">
        <is>
          <t>N/A</t>
        </is>
      </c>
      <c r="H3" s="8" t="inlineStr">
        <is>
          <t>N/A</t>
        </is>
      </c>
      <c r="I3" s="11" t="inlineStr">
        <is>
          <t>2 Aug 2026</t>
        </is>
      </c>
      <c r="J3" s="11" t="inlineStr">
        <is>
          <t>Risk management policy, risk register, risk assessment reports</t>
        </is>
      </c>
    </row>
    <row r="4" ht="42" customHeight="1">
      <c r="A4" s="7" t="inlineStr">
        <is>
          <t>Data Governance</t>
        </is>
      </c>
      <c r="B4" s="7" t="inlineStr">
        <is>
          <t>Art. 10</t>
        </is>
      </c>
      <c r="C4" s="7" t="inlineStr">
        <is>
          <t>Ensure training, validation and testing data sets meet quality criteria and are relevant, representative and free of errors.</t>
        </is>
      </c>
      <c r="D4" s="8" t="inlineStr">
        <is>
          <t>N/A</t>
        </is>
      </c>
      <c r="E4" s="9" t="inlineStr">
        <is>
          <t>Required</t>
        </is>
      </c>
      <c r="F4" s="8" t="inlineStr">
        <is>
          <t>N/A</t>
        </is>
      </c>
      <c r="G4" s="8" t="inlineStr">
        <is>
          <t>N/A</t>
        </is>
      </c>
      <c r="H4" s="8" t="inlineStr">
        <is>
          <t>N/A</t>
        </is>
      </c>
      <c r="I4" s="7" t="inlineStr">
        <is>
          <t>2 Aug 2026</t>
        </is>
      </c>
      <c r="J4" s="7" t="inlineStr">
        <is>
          <t>Data governance policy, data quality reports, bias testing results</t>
        </is>
      </c>
    </row>
    <row r="5" ht="42" customHeight="1">
      <c r="A5" s="11" t="inlineStr">
        <is>
          <t>Technical Documentation</t>
        </is>
      </c>
      <c r="B5" s="11" t="inlineStr">
        <is>
          <t>Art. 11, Art. 53</t>
        </is>
      </c>
      <c r="C5" s="11" t="inlineStr">
        <is>
          <t>Maintain technical documentation demonstrating compliance before the system is placed on the market or put into service.</t>
        </is>
      </c>
      <c r="D5" s="8" t="inlineStr">
        <is>
          <t>N/A</t>
        </is>
      </c>
      <c r="E5" s="9" t="inlineStr">
        <is>
          <t>Required</t>
        </is>
      </c>
      <c r="F5" s="8" t="inlineStr">
        <is>
          <t>N/A</t>
        </is>
      </c>
      <c r="G5" s="9" t="inlineStr">
        <is>
          <t>Required</t>
        </is>
      </c>
      <c r="H5" s="8" t="inlineStr">
        <is>
          <t>N/A</t>
        </is>
      </c>
      <c r="I5" s="11" t="inlineStr">
        <is>
          <t>2 Aug 2026</t>
        </is>
      </c>
      <c r="J5" s="11" t="inlineStr">
        <is>
          <t>Technical documentation package, system architecture, design specifications</t>
        </is>
      </c>
    </row>
    <row r="6" ht="42" customHeight="1">
      <c r="A6" s="7" t="inlineStr">
        <is>
          <t>Record-Keeping &amp; Logging</t>
        </is>
      </c>
      <c r="B6" s="7" t="inlineStr">
        <is>
          <t>Art. 12</t>
        </is>
      </c>
      <c r="C6" s="7" t="inlineStr">
        <is>
          <t>High-risk AI systems shall support automatic recording of events (logs) throughout the system lifecycle.</t>
        </is>
      </c>
      <c r="D6" s="8" t="inlineStr">
        <is>
          <t>N/A</t>
        </is>
      </c>
      <c r="E6" s="9" t="inlineStr">
        <is>
          <t>Required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7" t="inlineStr">
        <is>
          <t>2 Aug 2026</t>
        </is>
      </c>
      <c r="J6" s="7" t="inlineStr">
        <is>
          <t>Logging policy, log retention procedures, sample log outputs</t>
        </is>
      </c>
    </row>
    <row r="7" ht="42" customHeight="1">
      <c r="A7" s="11" t="inlineStr">
        <is>
          <t>Transparency to Deployers</t>
        </is>
      </c>
      <c r="B7" s="11" t="inlineStr">
        <is>
          <t>Art. 13</t>
        </is>
      </c>
      <c r="C7" s="11" t="inlineStr">
        <is>
          <t>High-risk AI systems shall be designed to ensure their operation is sufficiently transparent to deployers.</t>
        </is>
      </c>
      <c r="D7" s="8" t="inlineStr">
        <is>
          <t>N/A</t>
        </is>
      </c>
      <c r="E7" s="9" t="inlineStr">
        <is>
          <t>Required</t>
        </is>
      </c>
      <c r="F7" s="8" t="inlineStr">
        <is>
          <t>N/A</t>
        </is>
      </c>
      <c r="G7" s="8" t="inlineStr">
        <is>
          <t>N/A</t>
        </is>
      </c>
      <c r="H7" s="8" t="inlineStr">
        <is>
          <t>N/A</t>
        </is>
      </c>
      <c r="I7" s="11" t="inlineStr">
        <is>
          <t>2 Aug 2026</t>
        </is>
      </c>
      <c r="J7" s="11" t="inlineStr">
        <is>
          <t>Instructions for use, transparency documentation, deployer communication records</t>
        </is>
      </c>
    </row>
    <row r="8" ht="42" customHeight="1">
      <c r="A8" s="7" t="inlineStr">
        <is>
          <t>Human Oversight</t>
        </is>
      </c>
      <c r="B8" s="7" t="inlineStr">
        <is>
          <t>Art. 14</t>
        </is>
      </c>
      <c r="C8" s="7" t="inlineStr">
        <is>
          <t>High-risk AI systems shall be designed to allow effective oversight by natural persons during use.</t>
        </is>
      </c>
      <c r="D8" s="8" t="inlineStr">
        <is>
          <t>N/A</t>
        </is>
      </c>
      <c r="E8" s="9" t="inlineStr">
        <is>
          <t>Required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7" t="inlineStr">
        <is>
          <t>2 Aug 2026</t>
        </is>
      </c>
      <c r="J8" s="7" t="inlineStr">
        <is>
          <t>Human oversight procedures, override mechanisms, operator training records</t>
        </is>
      </c>
    </row>
    <row r="9" ht="42" customHeight="1">
      <c r="A9" s="11" t="inlineStr">
        <is>
          <t>Accuracy, Robustness &amp; Cybersecurity</t>
        </is>
      </c>
      <c r="B9" s="11" t="inlineStr">
        <is>
          <t>Art. 15</t>
        </is>
      </c>
      <c r="C9" s="11" t="inlineStr">
        <is>
          <t>High-risk AI systems shall achieve appropriate levels of accuracy, robustness and cybersecurity.</t>
        </is>
      </c>
      <c r="D9" s="8" t="inlineStr">
        <is>
          <t>N/A</t>
        </is>
      </c>
      <c r="E9" s="9" t="inlineStr">
        <is>
          <t>Required</t>
        </is>
      </c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11" t="inlineStr">
        <is>
          <t>2 Aug 2026</t>
        </is>
      </c>
      <c r="J9" s="11" t="inlineStr">
        <is>
          <t>Performance metrics, robustness testing results, cybersecurity assessment</t>
        </is>
      </c>
    </row>
    <row r="10" ht="42" customHeight="1">
      <c r="A10" s="7" t="inlineStr">
        <is>
          <t>Transparency: User Interaction</t>
        </is>
      </c>
      <c r="B10" s="7" t="inlineStr">
        <is>
          <t>Art. 50(1)</t>
        </is>
      </c>
      <c r="C10" s="7" t="inlineStr">
        <is>
          <t>Providers shall inform users that they are interacting with an AI system, unless obvious from the circumstances.</t>
        </is>
      </c>
      <c r="D10" s="8" t="inlineStr">
        <is>
          <t>N/A</t>
        </is>
      </c>
      <c r="E10" s="8" t="inlineStr">
        <is>
          <t>N/A</t>
        </is>
      </c>
      <c r="F10" s="9" t="inlineStr">
        <is>
          <t>Required</t>
        </is>
      </c>
      <c r="G10" s="8" t="inlineStr">
        <is>
          <t>N/A</t>
        </is>
      </c>
      <c r="H10" s="8" t="inlineStr">
        <is>
          <t>N/A</t>
        </is>
      </c>
      <c r="I10" s="7" t="inlineStr">
        <is>
          <t>2 Aug 2026</t>
        </is>
      </c>
      <c r="J10" s="7" t="inlineStr">
        <is>
          <t>User notification mechanisms, AI interaction disclosure design</t>
        </is>
      </c>
    </row>
    <row r="11" ht="42" customHeight="1">
      <c r="A11" s="11" t="inlineStr">
        <is>
          <t>Transparency: Synthetic Content Marking</t>
        </is>
      </c>
      <c r="B11" s="11" t="inlineStr">
        <is>
          <t>Art. 50(2)</t>
        </is>
      </c>
      <c r="C11" s="11" t="inlineStr">
        <is>
          <t>Providers of AI systems generating synthetic audio, image, video or text shall mark outputs in machine-readable format as AI-generated.</t>
        </is>
      </c>
      <c r="D11" s="8" t="inlineStr">
        <is>
          <t>N/A</t>
        </is>
      </c>
      <c r="E11" s="8" t="inlineStr">
        <is>
          <t>N/A</t>
        </is>
      </c>
      <c r="F11" s="9" t="inlineStr">
        <is>
          <t>Required</t>
        </is>
      </c>
      <c r="G11" s="9" t="inlineStr">
        <is>
          <t>Required</t>
        </is>
      </c>
      <c r="H11" s="8" t="inlineStr">
        <is>
          <t>N/A</t>
        </is>
      </c>
      <c r="I11" s="11" t="inlineStr">
        <is>
          <t>2 Aug 2026</t>
        </is>
      </c>
      <c r="J11" s="11" t="inlineStr">
        <is>
          <t>Machine-readable content marking system, metadata tagging implementation</t>
        </is>
      </c>
    </row>
    <row r="12" ht="42" customHeight="1">
      <c r="A12" s="7" t="inlineStr">
        <is>
          <t>Transparency: Emotion/Biometric Disclosure</t>
        </is>
      </c>
      <c r="B12" s="7" t="inlineStr">
        <is>
          <t>Art. 50(3)</t>
        </is>
      </c>
      <c r="C12" s="7" t="inlineStr">
        <is>
          <t>Deployers of emotion recognition or biometric categorisation systems shall inform exposed natural persons of the operation of the system.</t>
        </is>
      </c>
      <c r="D12" s="8" t="inlineStr">
        <is>
          <t>N/A</t>
        </is>
      </c>
      <c r="E12" s="8" t="inlineStr">
        <is>
          <t>N/A</t>
        </is>
      </c>
      <c r="F12" s="9" t="inlineStr">
        <is>
          <t>Required</t>
        </is>
      </c>
      <c r="G12" s="8" t="inlineStr">
        <is>
          <t>N/A</t>
        </is>
      </c>
      <c r="H12" s="8" t="inlineStr">
        <is>
          <t>N/A</t>
        </is>
      </c>
      <c r="I12" s="7" t="inlineStr">
        <is>
          <t>2 Aug 2026</t>
        </is>
      </c>
      <c r="J12" s="7" t="inlineStr">
        <is>
          <t>Notification mechanism for exposed persons, signage/disclosure records</t>
        </is>
      </c>
    </row>
    <row r="13" ht="42" customHeight="1">
      <c r="A13" s="11" t="inlineStr">
        <is>
          <t>Transparency: Deepfake Disclosure</t>
        </is>
      </c>
      <c r="B13" s="11" t="inlineStr">
        <is>
          <t>Art. 50(4)</t>
        </is>
      </c>
      <c r="C13" s="11" t="inlineStr">
        <is>
          <t>Deployers of AI systems generating deepfakes shall disclose that content has been artificially generated or manipulated.</t>
        </is>
      </c>
      <c r="D13" s="8" t="inlineStr">
        <is>
          <t>N/A</t>
        </is>
      </c>
      <c r="E13" s="8" t="inlineStr">
        <is>
          <t>N/A</t>
        </is>
      </c>
      <c r="F13" s="9" t="inlineStr">
        <is>
          <t>Required</t>
        </is>
      </c>
      <c r="G13" s="8" t="inlineStr">
        <is>
          <t>N/A</t>
        </is>
      </c>
      <c r="H13" s="8" t="inlineStr">
        <is>
          <t>N/A</t>
        </is>
      </c>
      <c r="I13" s="11" t="inlineStr">
        <is>
          <t>2 Aug 2026</t>
        </is>
      </c>
      <c r="J13" s="11" t="inlineStr">
        <is>
          <t>Deepfake labelling system, content provenance records</t>
        </is>
      </c>
    </row>
    <row r="14" ht="98" customHeight="1">
      <c r="A14" s="7" t="inlineStr">
        <is>
          <t>Conformity Assessment</t>
        </is>
      </c>
      <c r="B14" s="7" t="inlineStr">
        <is>
          <t>Art. 43</t>
        </is>
      </c>
      <c r="C14" s="7" t="inlineStr">
        <is>
          <t>Internal control (Annex VI) by default. For biometric systems (Annex III §1): if harmonised standards applied, provider chooses Annex VI or VII; if NOT applied, notified body (Annex VII) required. Third-party also mandatory if Annex I product legislation requires it. Conducted before placing on market or putting into service.</t>
        </is>
      </c>
      <c r="D14" s="8" t="inlineStr">
        <is>
          <t>N/A</t>
        </is>
      </c>
      <c r="E14" s="9" t="inlineStr">
        <is>
          <t>Required</t>
        </is>
      </c>
      <c r="F14" s="8" t="inlineStr">
        <is>
          <t>N/A</t>
        </is>
      </c>
      <c r="G14" s="8" t="inlineStr">
        <is>
          <t>N/A</t>
        </is>
      </c>
      <c r="H14" s="8" t="inlineStr">
        <is>
          <t>N/A</t>
        </is>
      </c>
      <c r="I14" s="7" t="inlineStr">
        <is>
          <t>2 Aug 2026</t>
        </is>
      </c>
      <c r="J14" s="7" t="inlineStr">
        <is>
          <t>Conformity assessment report, CE marking documentation, notified body certificate (if applicable)</t>
        </is>
      </c>
    </row>
    <row r="15" ht="42" customHeight="1">
      <c r="A15" s="11" t="inlineStr">
        <is>
          <t>EU Database Registration</t>
        </is>
      </c>
      <c r="B15" s="11" t="inlineStr">
        <is>
          <t>Art. 49</t>
        </is>
      </c>
      <c r="C15" s="11" t="inlineStr">
        <is>
          <t>Register high-risk AI systems in the EU database before placing on market or putting into service.</t>
        </is>
      </c>
      <c r="D15" s="8" t="inlineStr">
        <is>
          <t>N/A</t>
        </is>
      </c>
      <c r="E15" s="9" t="inlineStr">
        <is>
          <t>Required</t>
        </is>
      </c>
      <c r="F15" s="8" t="inlineStr">
        <is>
          <t>N/A</t>
        </is>
      </c>
      <c r="G15" s="8" t="inlineStr">
        <is>
          <t>N/A</t>
        </is>
      </c>
      <c r="H15" s="8" t="inlineStr">
        <is>
          <t>N/A</t>
        </is>
      </c>
      <c r="I15" s="11" t="inlineStr">
        <is>
          <t>2 Aug 2026</t>
        </is>
      </c>
      <c r="J15" s="11" t="inlineStr">
        <is>
          <t>EU database registration confirmation, registration reference number</t>
        </is>
      </c>
    </row>
    <row r="16" ht="42" customHeight="1">
      <c r="A16" s="7" t="inlineStr">
        <is>
          <t>Post-Market Monitoring</t>
        </is>
      </c>
      <c r="B16" s="7" t="inlineStr">
        <is>
          <t>Art. 72</t>
        </is>
      </c>
      <c r="C16" s="7" t="inlineStr">
        <is>
          <t>Establish and document a post-market monitoring system proportionate to the nature and risks of the AI system.</t>
        </is>
      </c>
      <c r="D16" s="8" t="inlineStr">
        <is>
          <t>N/A</t>
        </is>
      </c>
      <c r="E16" s="9" t="inlineStr">
        <is>
          <t>Required</t>
        </is>
      </c>
      <c r="F16" s="8" t="inlineStr">
        <is>
          <t>N/A</t>
        </is>
      </c>
      <c r="G16" s="8" t="inlineStr">
        <is>
          <t>N/A</t>
        </is>
      </c>
      <c r="H16" s="8" t="inlineStr">
        <is>
          <t>N/A</t>
        </is>
      </c>
      <c r="I16" s="7" t="inlineStr">
        <is>
          <t>2 Aug 2026</t>
        </is>
      </c>
      <c r="J16" s="7" t="inlineStr">
        <is>
          <t>Post-market monitoring plan, incident reports, periodic review records</t>
        </is>
      </c>
    </row>
    <row r="17" ht="84" customHeight="1">
      <c r="A17" s="11" t="inlineStr">
        <is>
          <t>Fundamental Rights Impact Assessment</t>
        </is>
      </c>
      <c r="B17" s="11" t="inlineStr">
        <is>
          <t>Art. 27</t>
        </is>
      </c>
      <c r="C17" s="11" t="inlineStr">
        <is>
          <t>FRIA mandatory for: (1) public bodies, (2) private entities providing public services, (3) deployers of credit scoring/insurance AI. Required prior to deployment. Public summary must be made available. Critical infrastructure systems exempt (Art. 27(6)).</t>
        </is>
      </c>
      <c r="D17" s="8" t="inlineStr">
        <is>
          <t>N/A</t>
        </is>
      </c>
      <c r="E17" s="12" t="inlineStr">
        <is>
          <t>Required
(see scope)</t>
        </is>
      </c>
      <c r="F17" s="8" t="inlineStr">
        <is>
          <t>N/A</t>
        </is>
      </c>
      <c r="G17" s="8" t="inlineStr">
        <is>
          <t>N/A</t>
        </is>
      </c>
      <c r="H17" s="8" t="inlineStr">
        <is>
          <t>N/A</t>
        </is>
      </c>
      <c r="I17" s="11" t="inlineStr">
        <is>
          <t>2 Aug 2026</t>
        </is>
      </c>
      <c r="J17" s="11" t="inlineStr">
        <is>
          <t>FRIA report, public summary, stakeholder consultation records, mitigation measures</t>
        </is>
      </c>
    </row>
    <row r="18" ht="42" customHeight="1">
      <c r="A18" s="7" t="inlineStr">
        <is>
          <t>GPAI: Copyright Compliance</t>
        </is>
      </c>
      <c r="B18" s="7" t="inlineStr">
        <is>
          <t>Art. 53(1)(c)</t>
        </is>
      </c>
      <c r="C18" s="7" t="inlineStr">
        <is>
          <t>GPAI providers shall put in place a policy to comply with Union copyright law, including the text and data mining opt-out.</t>
        </is>
      </c>
      <c r="D18" s="8" t="inlineStr">
        <is>
          <t>N/A</t>
        </is>
      </c>
      <c r="E18" s="8" t="inlineStr">
        <is>
          <t>N/A</t>
        </is>
      </c>
      <c r="F18" s="8" t="inlineStr">
        <is>
          <t>N/A</t>
        </is>
      </c>
      <c r="G18" s="9" t="inlineStr">
        <is>
          <t>Required</t>
        </is>
      </c>
      <c r="H18" s="8" t="inlineStr">
        <is>
          <t>N/A</t>
        </is>
      </c>
      <c r="I18" s="7" t="inlineStr">
        <is>
          <t>2 Aug 2025</t>
        </is>
      </c>
      <c r="J18" s="7" t="inlineStr">
        <is>
          <t>Copyright policy, TDM opt-out compliance, training data provenance</t>
        </is>
      </c>
    </row>
    <row r="19" ht="42" customHeight="1">
      <c r="A19" s="11" t="inlineStr">
        <is>
          <t>GPAI: Training Data Summary</t>
        </is>
      </c>
      <c r="B19" s="11" t="inlineStr">
        <is>
          <t>Art. 53(1)(d)</t>
        </is>
      </c>
      <c r="C19" s="11" t="inlineStr">
        <is>
          <t>GPAI providers shall draw up and make publicly available a sufficiently detailed summary of training data.</t>
        </is>
      </c>
      <c r="D19" s="8" t="inlineStr">
        <is>
          <t>N/A</t>
        </is>
      </c>
      <c r="E19" s="8" t="inlineStr">
        <is>
          <t>N/A</t>
        </is>
      </c>
      <c r="F19" s="8" t="inlineStr">
        <is>
          <t>N/A</t>
        </is>
      </c>
      <c r="G19" s="9" t="inlineStr">
        <is>
          <t>Required</t>
        </is>
      </c>
      <c r="H19" s="8" t="inlineStr">
        <is>
          <t>N/A</t>
        </is>
      </c>
      <c r="I19" s="11" t="inlineStr">
        <is>
          <t>2 Aug 2025</t>
        </is>
      </c>
      <c r="J19" s="11" t="inlineStr">
        <is>
          <t>Training data summary (template per Art. 53(1)(d)), public availability proof</t>
        </is>
      </c>
    </row>
    <row r="20" ht="70" customHeight="1">
      <c r="A20" s="7" t="inlineStr">
        <is>
          <t>GPAI: Systemic Risk Assessment</t>
        </is>
      </c>
      <c r="B20" s="7" t="inlineStr">
        <is>
          <t>Art. 55</t>
        </is>
      </c>
      <c r="C20" s="7" t="inlineStr">
        <is>
          <t>GPAI models with systemic risk (threshold: &gt;10^25 FLOPs per Art. 51(2), or designated by AI Office) shall perform model evaluation, adversarial testing, assess and mitigate systemic risks, and report serious incidents.</t>
        </is>
      </c>
      <c r="D20" s="8" t="inlineStr">
        <is>
          <t>N/A</t>
        </is>
      </c>
      <c r="E20" s="8" t="inlineStr">
        <is>
          <t>N/A</t>
        </is>
      </c>
      <c r="F20" s="8" t="inlineStr">
        <is>
          <t>N/A</t>
        </is>
      </c>
      <c r="G20" s="13" t="inlineStr">
        <is>
          <t>Systemic
only</t>
        </is>
      </c>
      <c r="H20" s="8" t="inlineStr">
        <is>
          <t>N/A</t>
        </is>
      </c>
      <c r="I20" s="7" t="inlineStr">
        <is>
          <t>2 Aug 2025</t>
        </is>
      </c>
      <c r="J20" s="7" t="inlineStr">
        <is>
          <t>Model evaluation report, systemic risk assessment, incident reporting procedures, adversarial testing results</t>
        </is>
      </c>
    </row>
    <row r="21" ht="56" customHeight="1">
      <c r="A21" s="11" t="inlineStr">
        <is>
          <t>Serious Incident Reporting</t>
        </is>
      </c>
      <c r="B21" s="11" t="inlineStr">
        <is>
          <t>Art. 73</t>
        </is>
      </c>
      <c r="C21" s="11" t="inlineStr">
        <is>
          <t>Report serious incidents to market surveillance authorities. Deadlines: 15 days (standard), 10 days (death), 2 days (critical infrastructure disruption). Incomplete initial reports allowed.</t>
        </is>
      </c>
      <c r="D21" s="8" t="inlineStr">
        <is>
          <t>N/A</t>
        </is>
      </c>
      <c r="E21" s="9" t="inlineStr">
        <is>
          <t>Required</t>
        </is>
      </c>
      <c r="F21" s="8" t="inlineStr">
        <is>
          <t>N/A</t>
        </is>
      </c>
      <c r="G21" s="13" t="inlineStr">
        <is>
          <t>Systemic
only</t>
        </is>
      </c>
      <c r="H21" s="8" t="inlineStr">
        <is>
          <t>N/A</t>
        </is>
      </c>
      <c r="I21" s="11" t="inlineStr">
        <is>
          <t>2 Aug 2026</t>
        </is>
      </c>
      <c r="J21" s="11" t="inlineStr">
        <is>
          <t>Incident reporting procedure, contact details for authorities, incident log, escalation thresholds</t>
        </is>
      </c>
    </row>
    <row r="22" ht="56" customHeight="1">
      <c r="A22" s="7" t="inlineStr">
        <is>
          <t>Provider: Record-Keeping</t>
        </is>
      </c>
      <c r="B22" s="7" t="inlineStr">
        <is>
          <t>Art. 16</t>
        </is>
      </c>
      <c r="C22" s="7" t="inlineStr">
        <is>
          <t>Providers shall keep technical documentation and performance records for at least 10 years. Records must be made available to market surveillance authorities upon request.</t>
        </is>
      </c>
      <c r="D22" s="8" t="inlineStr">
        <is>
          <t>N/A</t>
        </is>
      </c>
      <c r="E22" s="14" t="inlineStr">
        <is>
          <t>Required
(Provider)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7" t="inlineStr">
        <is>
          <t>2 Aug 2026</t>
        </is>
      </c>
      <c r="J22" s="7" t="inlineStr">
        <is>
          <t>Documentation retention policy, record management procedure, authority access log</t>
        </is>
      </c>
    </row>
    <row r="23" ht="84" customHeight="1">
      <c r="A23" s="11" t="inlineStr">
        <is>
          <t>Quality Management System</t>
        </is>
      </c>
      <c r="B23" s="11" t="inlineStr">
        <is>
          <t>Art. 17</t>
        </is>
      </c>
      <c r="C23" s="11" t="inlineStr">
        <is>
          <t>Providers of high-risk AI systems shall establish, implement, document and maintain a quality management system (QMS) including: compliance strategy, data governance, algorithm governance, design/development procedures, testing/validation, and post-market monitoring integration.</t>
        </is>
      </c>
      <c r="D23" s="8" t="inlineStr">
        <is>
          <t>N/A</t>
        </is>
      </c>
      <c r="E23" s="12" t="inlineStr">
        <is>
          <t>Required
(Provider)</t>
        </is>
      </c>
      <c r="F23" s="8" t="inlineStr">
        <is>
          <t>N/A</t>
        </is>
      </c>
      <c r="G23" s="8" t="inlineStr">
        <is>
          <t>N/A</t>
        </is>
      </c>
      <c r="H23" s="8" t="inlineStr">
        <is>
          <t>N/A</t>
        </is>
      </c>
      <c r="I23" s="11" t="inlineStr">
        <is>
          <t>2 Aug 2026</t>
        </is>
      </c>
      <c r="J23" s="11" t="inlineStr">
        <is>
          <t>QMS policy document, governance procedures, compliance management records, internal audit results</t>
        </is>
      </c>
    </row>
    <row r="24" ht="42" customHeight="1">
      <c r="A24" s="7" t="inlineStr">
        <is>
          <t>Deployer: Use in Accordance with Instructions</t>
        </is>
      </c>
      <c r="B24" s="7" t="inlineStr">
        <is>
          <t>Art. 26(1)</t>
        </is>
      </c>
      <c r="C24" s="7" t="inlineStr">
        <is>
          <t>Deployers shall use high-risk AI systems in accordance with provider instructions and ensure appropriate technical and organisational measures.</t>
        </is>
      </c>
      <c r="D24" s="8" t="inlineStr">
        <is>
          <t>N/A</t>
        </is>
      </c>
      <c r="E24" s="14" t="inlineStr">
        <is>
          <t>Required
(Deployer)</t>
        </is>
      </c>
      <c r="F24" s="8" t="inlineStr">
        <is>
          <t>N/A</t>
        </is>
      </c>
      <c r="G24" s="8" t="inlineStr">
        <is>
          <t>N/A</t>
        </is>
      </c>
      <c r="H24" s="8" t="inlineStr">
        <is>
          <t>N/A</t>
        </is>
      </c>
      <c r="I24" s="7" t="inlineStr">
        <is>
          <t>2 Aug 2026</t>
        </is>
      </c>
      <c r="J24" s="7" t="inlineStr">
        <is>
          <t>Operational procedures, training records, compliance audit logs</t>
        </is>
      </c>
    </row>
    <row r="25" ht="70" customHeight="1">
      <c r="A25" s="11" t="inlineStr">
        <is>
          <t>Deployer: Monitoring &amp; Record-Keeping</t>
        </is>
      </c>
      <c r="B25" s="11" t="inlineStr">
        <is>
          <t>Art. 26(5-6)</t>
        </is>
      </c>
      <c r="C25" s="11" t="inlineStr">
        <is>
          <t>Deployers shall monitor operation of high-risk AI systems on the basis of instructions for use, keep logs for at least 6 months (Art. 26(6)), and inform provider of any serious incident or malfunction.</t>
        </is>
      </c>
      <c r="D25" s="8" t="inlineStr">
        <is>
          <t>N/A</t>
        </is>
      </c>
      <c r="E25" s="12" t="inlineStr">
        <is>
          <t>Required
(Deployer)</t>
        </is>
      </c>
      <c r="F25" s="8" t="inlineStr">
        <is>
          <t>N/A</t>
        </is>
      </c>
      <c r="G25" s="8" t="inlineStr">
        <is>
          <t>N/A</t>
        </is>
      </c>
      <c r="H25" s="8" t="inlineStr">
        <is>
          <t>N/A</t>
        </is>
      </c>
      <c r="I25" s="11" t="inlineStr">
        <is>
          <t>2 Aug 2026</t>
        </is>
      </c>
      <c r="J25" s="11" t="inlineStr">
        <is>
          <t>Operation monitoring logs, incident notification records, provider communication trail</t>
        </is>
      </c>
    </row>
    <row r="26" ht="42" customHeight="1">
      <c r="A26" s="7" t="inlineStr">
        <is>
          <t>Voluntary Codes of Conduct</t>
        </is>
      </c>
      <c r="B26" s="7" t="inlineStr">
        <is>
          <t>Art. 95</t>
        </is>
      </c>
      <c r="C26" s="7" t="inlineStr">
        <is>
          <t>Providers and deployers of non-high-risk AI systems are encouraged to voluntarily apply high-risk requirements.</t>
        </is>
      </c>
      <c r="D26" s="8" t="inlineStr">
        <is>
          <t>N/A</t>
        </is>
      </c>
      <c r="E26" s="8" t="inlineStr">
        <is>
          <t>N/A</t>
        </is>
      </c>
      <c r="F26" s="8" t="inlineStr">
        <is>
          <t>N/A</t>
        </is>
      </c>
      <c r="G26" s="8" t="inlineStr">
        <is>
          <t>N/A</t>
        </is>
      </c>
      <c r="H26" s="15" t="inlineStr">
        <is>
          <t>Encouraged</t>
        </is>
      </c>
      <c r="I26" s="7" t="inlineStr">
        <is>
          <t>N/A</t>
        </is>
      </c>
      <c r="J26" s="7" t="inlineStr">
        <is>
          <t>Voluntary compliance documentation, code of conduct adoption records</t>
        </is>
      </c>
    </row>
  </sheetData>
  <autoFilter ref="A1:J2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2986C"/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4" customWidth="1" min="4" max="4"/>
    <col width="16" customWidth="1" min="5" max="5"/>
    <col width="18" customWidth="1" min="6" max="6"/>
    <col width="16" customWidth="1" min="7" max="7"/>
    <col width="30" customWidth="1" min="8" max="8"/>
    <col width="34" customWidth="1" min="9" max="9"/>
    <col width="18" customWidth="1" min="10" max="10"/>
    <col width="18" customWidth="1" min="11" max="11"/>
    <col width="14" customWidth="1" min="12" max="12"/>
    <col width="32" customWidth="1" min="13" max="13"/>
  </cols>
  <sheetData>
    <row r="1" ht="44" customHeight="1">
      <c r="A1" s="6" t="inlineStr">
        <is>
          <t>System ID</t>
        </is>
      </c>
      <c r="B1" s="6" t="inlineStr">
        <is>
          <t>System Name</t>
        </is>
      </c>
      <c r="C1" s="6" t="inlineStr">
        <is>
          <t>Risk Level</t>
        </is>
      </c>
      <c r="D1" s="6" t="inlineStr">
        <is>
          <t>Obligation Area</t>
        </is>
      </c>
      <c r="E1" s="6" t="inlineStr">
        <is>
          <t>EU AI Act Article</t>
        </is>
      </c>
      <c r="F1" s="6" t="inlineStr">
        <is>
          <t>Compliance Status</t>
        </is>
      </c>
      <c r="G1" s="6" t="inlineStr">
        <is>
          <t>Current Maturity
(1-5)</t>
        </is>
      </c>
      <c r="H1" s="6" t="inlineStr">
        <is>
          <t>Evidence / Reference</t>
        </is>
      </c>
      <c r="I1" s="6" t="inlineStr">
        <is>
          <t>Gap Description</t>
        </is>
      </c>
      <c r="J1" s="6" t="inlineStr">
        <is>
          <t>Priority
(Critical/High/Medium/Low)</t>
        </is>
      </c>
      <c r="K1" s="6" t="inlineStr">
        <is>
          <t>Remediation Owner</t>
        </is>
      </c>
      <c r="L1" s="6" t="inlineStr">
        <is>
          <t>Target Date</t>
        </is>
      </c>
      <c r="M1" s="6" t="inlineStr">
        <is>
          <t>Notes</t>
        </is>
      </c>
    </row>
    <row r="2">
      <c r="A2" s="7" t="inlineStr">
        <is>
          <t>AI-001</t>
        </is>
      </c>
      <c r="B2" s="7" t="inlineStr">
        <is>
          <t>TalentAI HR Screening</t>
        </is>
      </c>
      <c r="C2" s="7" t="inlineStr">
        <is>
          <t>High</t>
        </is>
      </c>
      <c r="D2" s="7" t="inlineStr">
        <is>
          <t>Risk Management System</t>
        </is>
      </c>
      <c r="E2" s="7" t="inlineStr">
        <is>
          <t>Art. 9</t>
        </is>
      </c>
      <c r="F2" s="7" t="inlineStr">
        <is>
          <t>Partially Compliant</t>
        </is>
      </c>
      <c r="G2" s="7" t="n">
        <v>3</v>
      </c>
      <c r="H2" s="7" t="inlineStr">
        <is>
          <t>Risk register v2.1, dated Jan 2026</t>
        </is>
      </c>
      <c r="I2" s="7" t="inlineStr">
        <is>
          <t>Risk register exists but does not cover all lifecycle stages. Missing residual risk assessment.</t>
        </is>
      </c>
      <c r="J2" s="7" t="inlineStr">
        <is>
          <t>High</t>
        </is>
      </c>
      <c r="K2" s="7" t="inlineStr">
        <is>
          <t>DPO Team</t>
        </is>
      </c>
      <c r="L2" s="7" t="inlineStr">
        <is>
          <t>2026-06-30</t>
        </is>
      </c>
      <c r="M2" s="7" t="inlineStr">
        <is>
          <t>Priority: complete lifecycle risk assessment before Aug 2026 deadline</t>
        </is>
      </c>
    </row>
    <row r="3">
      <c r="A3" s="11" t="inlineStr">
        <is>
          <t>AI-001</t>
        </is>
      </c>
      <c r="B3" s="11" t="inlineStr">
        <is>
          <t>TalentAI HR Screening</t>
        </is>
      </c>
      <c r="C3" s="11" t="inlineStr">
        <is>
          <t>High</t>
        </is>
      </c>
      <c r="D3" s="11" t="inlineStr">
        <is>
          <t>Data Governance</t>
        </is>
      </c>
      <c r="E3" s="11" t="inlineStr">
        <is>
          <t>Art. 10</t>
        </is>
      </c>
      <c r="F3" s="11" t="inlineStr">
        <is>
          <t>Non-Compliant</t>
        </is>
      </c>
      <c r="G3" s="11" t="n">
        <v>1</v>
      </c>
      <c r="H3" s="11" t="inlineStr"/>
      <c r="I3" s="11" t="inlineStr">
        <is>
          <t>No formal data governance policy for training data. Bias testing not performed.</t>
        </is>
      </c>
      <c r="J3" s="11" t="inlineStr">
        <is>
          <t>Critical</t>
        </is>
      </c>
      <c r="K3" s="11" t="inlineStr">
        <is>
          <t>Data Team</t>
        </is>
      </c>
      <c r="L3" s="11" t="inlineStr">
        <is>
          <t>2026-05-15</t>
        </is>
      </c>
      <c r="M3" s="11" t="inlineStr">
        <is>
          <t>Requires new data quality framework and bias testing protocol</t>
        </is>
      </c>
    </row>
    <row r="4">
      <c r="A4" s="7" t="inlineStr">
        <is>
          <t>AI-001</t>
        </is>
      </c>
      <c r="B4" s="7" t="inlineStr">
        <is>
          <t>TalentAI HR Screening</t>
        </is>
      </c>
      <c r="C4" s="7" t="inlineStr">
        <is>
          <t>High</t>
        </is>
      </c>
      <c r="D4" s="7" t="inlineStr">
        <is>
          <t>Human Oversight</t>
        </is>
      </c>
      <c r="E4" s="7" t="inlineStr">
        <is>
          <t>Art. 14</t>
        </is>
      </c>
      <c r="F4" s="7" t="inlineStr">
        <is>
          <t>Compliant</t>
        </is>
      </c>
      <c r="G4" s="7" t="n">
        <v>4</v>
      </c>
      <c r="H4" s="7" t="inlineStr">
        <is>
          <t>SOP-AI-014 HR Override Protocol</t>
        </is>
      </c>
      <c r="I4" s="7" t="inlineStr"/>
      <c r="J4" s="7" t="inlineStr">
        <is>
          <t>Low</t>
        </is>
      </c>
      <c r="K4" s="7" t="inlineStr">
        <is>
          <t>HR Manager</t>
        </is>
      </c>
      <c r="L4" s="7" t="inlineStr"/>
      <c r="M4" s="7" t="inlineStr">
        <is>
          <t>Override mechanism documented and tested quarterly</t>
        </is>
      </c>
    </row>
    <row r="5">
      <c r="A5" s="11" t="inlineStr">
        <is>
          <t>AI-001</t>
        </is>
      </c>
      <c r="B5" s="11" t="inlineStr">
        <is>
          <t>TalentAI HR Screening</t>
        </is>
      </c>
      <c r="C5" s="11" t="inlineStr">
        <is>
          <t>High</t>
        </is>
      </c>
      <c r="D5" s="11" t="inlineStr">
        <is>
          <t>Technical Documentation</t>
        </is>
      </c>
      <c r="E5" s="11" t="inlineStr">
        <is>
          <t>Art. 11, Art. 53</t>
        </is>
      </c>
      <c r="F5" s="11" t="inlineStr">
        <is>
          <t>Partially Compliant</t>
        </is>
      </c>
      <c r="G5" s="11" t="n">
        <v>2</v>
      </c>
      <c r="H5" s="11" t="inlineStr">
        <is>
          <t>System spec v1.0</t>
        </is>
      </c>
      <c r="I5" s="11" t="inlineStr">
        <is>
          <t>Basic system spec exists but does not meet Art. 11 / Annex IV requirements. Missing: training methodology, data sets description, validation results.</t>
        </is>
      </c>
      <c r="J5" s="11" t="inlineStr">
        <is>
          <t>High</t>
        </is>
      </c>
      <c r="K5" s="11" t="inlineStr">
        <is>
          <t>Engineering</t>
        </is>
      </c>
      <c r="L5" s="11" t="inlineStr">
        <is>
          <t>2026-07-01</t>
        </is>
      </c>
      <c r="M5" s="11" t="inlineStr">
        <is>
          <t>Use Annex IV template to restructure documentation</t>
        </is>
      </c>
    </row>
    <row r="6">
      <c r="A6" s="7" t="inlineStr">
        <is>
          <t>AI-002</t>
        </is>
      </c>
      <c r="B6" s="7" t="inlineStr">
        <is>
          <t>Support Chatbot</t>
        </is>
      </c>
      <c r="C6" s="7" t="inlineStr">
        <is>
          <t>Limited</t>
        </is>
      </c>
      <c r="D6" s="7" t="inlineStr">
        <is>
          <t>Transparency Disclosure</t>
        </is>
      </c>
      <c r="E6" s="7" t="inlineStr">
        <is>
          <t>Art. 50</t>
        </is>
      </c>
      <c r="F6" s="7" t="inlineStr">
        <is>
          <t>Compliant</t>
        </is>
      </c>
      <c r="G6" s="7" t="n">
        <v>4</v>
      </c>
      <c r="H6" s="7" t="inlineStr">
        <is>
          <t>Chatbot greeting includes AI disclosure</t>
        </is>
      </c>
      <c r="I6" s="7" t="inlineStr"/>
      <c r="J6" s="7" t="inlineStr">
        <is>
          <t>Low</t>
        </is>
      </c>
      <c r="K6" s="7" t="inlineStr">
        <is>
          <t>Product Team</t>
        </is>
      </c>
      <c r="L6" s="7" t="inlineStr"/>
      <c r="M6" s="7" t="inlineStr">
        <is>
          <t>Disclosure visible at start of every conversation</t>
        </is>
      </c>
    </row>
    <row r="7">
      <c r="A7" s="11" t="inlineStr">
        <is>
          <t>AI-002</t>
        </is>
      </c>
      <c r="B7" s="11" t="inlineStr">
        <is>
          <t>Support Chatbot</t>
        </is>
      </c>
      <c r="C7" s="11" t="inlineStr">
        <is>
          <t>Limited</t>
        </is>
      </c>
      <c r="D7" s="11" t="inlineStr">
        <is>
          <t>AI Literacy &amp; Training</t>
        </is>
      </c>
      <c r="E7" s="11" t="inlineStr">
        <is>
          <t>Art. 4</t>
        </is>
      </c>
      <c r="F7" s="11" t="inlineStr">
        <is>
          <t>Partially Compliant</t>
        </is>
      </c>
      <c r="G7" s="11" t="n">
        <v>2</v>
      </c>
      <c r="H7" s="11" t="inlineStr">
        <is>
          <t>Basic onboarding slide</t>
        </is>
      </c>
      <c r="I7" s="11" t="inlineStr">
        <is>
          <t>Only basic awareness. No role-specific literacy assessment for support staff managing the chatbot.</t>
        </is>
      </c>
      <c r="J7" s="11" t="inlineStr">
        <is>
          <t>Medium</t>
        </is>
      </c>
      <c r="K7" s="11" t="inlineStr">
        <is>
          <t>L&amp;D Team</t>
        </is>
      </c>
      <c r="L7" s="11" t="inlineStr">
        <is>
          <t>2026-04-30</t>
        </is>
      </c>
      <c r="M7" s="11" t="inlineStr">
        <is>
          <t>Develop AI literacy module for support team</t>
        </is>
      </c>
    </row>
    <row r="8">
      <c r="A8" s="7" t="inlineStr">
        <is>
          <t>AI-003</t>
        </is>
      </c>
      <c r="B8" s="7" t="inlineStr">
        <is>
          <t>FinSecure Credit Scoring</t>
        </is>
      </c>
      <c r="C8" s="7" t="inlineStr">
        <is>
          <t>High</t>
        </is>
      </c>
      <c r="D8" s="7" t="inlineStr">
        <is>
          <t>Risk Management System</t>
        </is>
      </c>
      <c r="E8" s="7" t="inlineStr">
        <is>
          <t>Art. 9</t>
        </is>
      </c>
      <c r="F8" s="7" t="inlineStr">
        <is>
          <t>Compliant</t>
        </is>
      </c>
      <c r="G8" s="7" t="n">
        <v>5</v>
      </c>
      <c r="H8" s="7" t="inlineStr">
        <is>
          <t>RM-FIN-001, annual review Dec 2025</t>
        </is>
      </c>
      <c r="I8" s="7" t="inlineStr"/>
      <c r="J8" s="7" t="inlineStr">
        <is>
          <t>Low</t>
        </is>
      </c>
      <c r="K8" s="7" t="inlineStr">
        <is>
          <t>Risk Team</t>
        </is>
      </c>
      <c r="L8" s="7" t="inlineStr"/>
      <c r="M8" s="7" t="inlineStr">
        <is>
          <t>Comprehensive risk management with quarterly reviews</t>
        </is>
      </c>
    </row>
    <row r="9">
      <c r="A9" s="11" t="inlineStr">
        <is>
          <t>AI-003</t>
        </is>
      </c>
      <c r="B9" s="11" t="inlineStr">
        <is>
          <t>FinSecure Credit Scoring</t>
        </is>
      </c>
      <c r="C9" s="11" t="inlineStr">
        <is>
          <t>High</t>
        </is>
      </c>
      <c r="D9" s="11" t="inlineStr">
        <is>
          <t>Conformity Assessment</t>
        </is>
      </c>
      <c r="E9" s="11" t="inlineStr">
        <is>
          <t>Art. 43</t>
        </is>
      </c>
      <c r="F9" s="11" t="inlineStr">
        <is>
          <t>Non-Compliant</t>
        </is>
      </c>
      <c r="G9" s="11" t="n">
        <v>1</v>
      </c>
      <c r="H9" s="11" t="inlineStr"/>
      <c r="I9" s="11" t="inlineStr">
        <is>
          <t>Conformity assessment not yet initiated. Internal control procedure not documented.</t>
        </is>
      </c>
      <c r="J9" s="11" t="inlineStr">
        <is>
          <t>Critical</t>
        </is>
      </c>
      <c r="K9" s="11" t="inlineStr">
        <is>
          <t>Compliance</t>
        </is>
      </c>
      <c r="L9" s="11" t="inlineStr">
        <is>
          <t>2026-06-01</t>
        </is>
      </c>
      <c r="M9" s="11" t="inlineStr">
        <is>
          <t>Credit scoring under Annex III §5(b) — high-risk. Initiate conformity assessment.</t>
        </is>
      </c>
    </row>
  </sheetData>
  <autoFilter ref="A1:M9"/>
  <conditionalFormatting sqref="F2:F100">
    <cfRule type="cellIs" priority="1" operator="equal" dxfId="0">
      <formula>"Compliant"</formula>
    </cfRule>
    <cfRule type="cellIs" priority="2" operator="equal" dxfId="1">
      <formula>"Partially Compliant"</formula>
    </cfRule>
    <cfRule type="cellIs" priority="3" operator="equal" dxfId="2">
      <formula>"Non-Compliant"</formula>
    </cfRule>
    <cfRule type="cellIs" priority="4" operator="equal" dxfId="3">
      <formula>"Not Applicable"</formula>
    </cfRule>
  </conditionalFormatting>
  <conditionalFormatting sqref="C2:C100">
    <cfRule type="cellIs" priority="5" operator="equal" dxfId="4">
      <formula>"High"</formula>
    </cfRule>
    <cfRule type="cellIs" priority="6" operator="equal" dxfId="5">
      <formula>"Limited"</formula>
    </cfRule>
    <cfRule type="cellIs" priority="7" operator="equal" dxfId="6">
      <formula>"GPAI"</formula>
    </cfRule>
    <cfRule type="cellIs" priority="8" operator="equal" dxfId="0">
      <formula>"Minimal"</formula>
    </cfRule>
    <cfRule type="cellIs" priority="9" operator="equal" dxfId="2">
      <formula>"Prohibited"</formula>
    </cfRule>
  </conditionalFormatting>
  <conditionalFormatting sqref="J2:J100">
    <cfRule type="cellIs" priority="10" operator="equal" dxfId="2">
      <formula>"Critical"</formula>
    </cfRule>
    <cfRule type="cellIs" priority="11" operator="equal" dxfId="4">
      <formula>"High"</formula>
    </cfRule>
    <cfRule type="cellIs" priority="12" operator="equal" dxfId="1">
      <formula>"Medium"</formula>
    </cfRule>
    <cfRule type="cellIs" priority="13" operator="equal" dxfId="7">
      <formula>"Low"</formula>
    </cfRule>
  </conditionalFormatting>
  <dataValidations count="6">
    <dataValidation sqref="C2:C100" showDropDown="0" showInputMessage="1" showErrorMessage="1" allowBlank="1" errorTitle="Invalid Risk Level" error="Select from: Prohibited, High, Limited, GPAI, GPAI (Systemic), Minimal, Not Yet Classified" promptTitle="Risk Level" prompt="Select the risk level from Template #2" type="list">
      <formula1>"Prohibited,High,Limited,GPAI,GPAI (Systemic),Minimal,Not Yet Classified"</formula1>
    </dataValidation>
    <dataValidation sqref="D2:D100" showDropDown="0" showInputMessage="1" showErrorMessage="1" allowBlank="1" promptTitle="Obligation Area" prompt="Select obligation area from the Obligations Map" type="list">
      <formula1>"AI Literacy &amp; Training|Risk Management System|Data Governance|Technical Documentation|Record-Keeping &amp; Logging|Transparency to Deployers|Human Oversight|Accuracy, Robustness &amp; Cybersecurity|Transparency: User Interaction|Transparency: Synthetic Content Marking|Transparency: Emotion/Biometric Disclosure|Transparency: Deepfake Disclosure|Conformity Assessment|EU Database Registration|Post-Market Monitoring|Fundamental Rights Impact Assessment|GPAI: Copyright Compliance|GPAI: Training Data Summary|GPAI: Systemic Risk Assessment|Serious Incident Reporting|Provider: Record-Keeping|Quality Management System|Deployer: Use in Accordance with Instructions|Deployer: Monitoring &amp; Record-Keeping|Voluntary Codes of Conduct"</formula1>
    </dataValidation>
    <dataValidation sqref="F2:F100" showDropDown="0" showInputMessage="1" showErrorMessage="1" allowBlank="1" promptTitle="Compliance Status" prompt="Compliant = fully met | Partially = gaps remain | Non-Compliant = not met" type="list">
      <formula1>"Compliant,Partially Compliant,Non-Compliant,Not Applicable"</formula1>
    </dataValidation>
    <dataValidation sqref="G2:G100" showDropDown="0" showInputMessage="1" showErrorMessage="1" allowBlank="1" errorTitle="Invalid Maturity" error="Enter a number between 1 (Absent) and 5 (Embedded)." promptTitle="Maturity Level" prompt="1=Absent, 2=Ad Hoc, 3=Structured, 4=Continuous, 5=Embedded" type="whole" operator="between">
      <formula1>1</formula1>
      <formula2>5</formula2>
    </dataValidation>
    <dataValidation sqref="J2:J100" showDropDown="0" showInputMessage="1" showErrorMessage="1" allowBlank="1" promptTitle="Priority" prompt="Critical = immediate action | High = before deadline | Medium = planned | Low = nice to have" type="list">
      <formula1>"Critical,High,Medium,Low"</formula1>
    </dataValidation>
    <dataValidation sqref="L2:L100" showDropDown="0" showInputMessage="1" showErrorMessage="0" allowBlank="1" promptTitle="Target Date" prompt="Enter target completion date (DD/MM/YYYY)" type="date"/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C1E23"/>
    <outlinePr summaryBelow="1" summaryRight="1"/>
    <pageSetUpPr fitToPage="1"/>
  </sheetPr>
  <dimension ref="A1:G3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B1" s="16" t="inlineStr">
        <is>
          <t>EU AI Act Compliance Assessment — Dashboard</t>
        </is>
      </c>
    </row>
    <row r="3">
      <c r="B3" s="17" t="inlineStr">
        <is>
          <t>OVERALL COMPLIANCE SUMMARY</t>
        </is>
      </c>
    </row>
    <row r="4" ht="22" customHeight="1">
      <c r="B4" s="18" t="inlineStr">
        <is>
          <t>Total Assessment Items</t>
        </is>
      </c>
      <c r="C4" s="19">
        <f>COUNTA('Gap Assessment'!F2:F100)</f>
        <v/>
      </c>
    </row>
    <row r="5" ht="22" customHeight="1">
      <c r="B5" s="18" t="inlineStr">
        <is>
          <t>Compliant</t>
        </is>
      </c>
      <c r="C5" s="19">
        <f>COUNTIF('Gap Assessment'!F2:F100,"Compliant")</f>
        <v/>
      </c>
    </row>
    <row r="6" ht="22" customHeight="1">
      <c r="B6" s="18" t="inlineStr">
        <is>
          <t>Partially Compliant</t>
        </is>
      </c>
      <c r="C6" s="19">
        <f>COUNTIF('Gap Assessment'!F2:F100,"Partially Compliant")</f>
        <v/>
      </c>
    </row>
    <row r="7" ht="22" customHeight="1">
      <c r="B7" s="18" t="inlineStr">
        <is>
          <t>Non-Compliant</t>
        </is>
      </c>
      <c r="C7" s="19">
        <f>COUNTIF('Gap Assessment'!F2:F100,"Non-Compliant")</f>
        <v/>
      </c>
    </row>
    <row r="8" ht="22" customHeight="1">
      <c r="B8" s="18" t="inlineStr">
        <is>
          <t>Not Applicable</t>
        </is>
      </c>
      <c r="C8" s="19">
        <f>COUNTIF('Gap Assessment'!F2:F100,"Not Applicable")</f>
        <v/>
      </c>
    </row>
    <row r="9" ht="8" customHeight="1">
      <c r="B9" s="18" t="inlineStr"/>
      <c r="C9" s="19" t="inlineStr"/>
    </row>
    <row r="10" ht="22" customHeight="1">
      <c r="B10" s="18" t="inlineStr">
        <is>
          <t>Compliance Rate (excl. N/A)</t>
        </is>
      </c>
      <c r="C10" s="20">
        <f>IF((COUNTA('Gap Assessment'!F2:F100)-COUNTIF('Gap Assessment'!F2:F100,"Not Applicable"))&gt;0,COUNTIF('Gap Assessment'!F2:F100,"Compliant")/(COUNTA('Gap Assessment'!F2:F100)-COUNTIF('Gap Assessment'!F2:F100,"Not Applicable")),0)</f>
        <v/>
      </c>
    </row>
    <row r="11" ht="22" customHeight="1">
      <c r="B11" s="18" t="inlineStr">
        <is>
          <t>Partial Compliance Rate</t>
        </is>
      </c>
      <c r="C11" s="20">
        <f>IF((COUNTA('Gap Assessment'!F2:F100)-COUNTIF('Gap Assessment'!F2:F100,"Not Applicable"))&gt;0,COUNTIF('Gap Assessment'!F2:F100,"Partially Compliant")/(COUNTA('Gap Assessment'!F2:F100)-COUNTIF('Gap Assessment'!F2:F100,"Not Applicable")),0)</f>
        <v/>
      </c>
    </row>
    <row r="12" ht="22" customHeight="1">
      <c r="B12" s="18" t="inlineStr">
        <is>
          <t>Non-Compliance Rate</t>
        </is>
      </c>
      <c r="C12" s="20">
        <f>IF((COUNTA('Gap Assessment'!F2:F100)-COUNTIF('Gap Assessment'!F2:F100,"Not Applicable"))&gt;0,COUNTIF('Gap Assessment'!F2:F100,"Non-Compliant")/(COUNTA('Gap Assessment'!F2:F100)-COUNTIF('Gap Assessment'!F2:F100,"Not Applicable")),0)</f>
        <v/>
      </c>
    </row>
    <row r="14">
      <c r="B14" s="17" t="inlineStr">
        <is>
          <t>PRIORITY BREAKDOWN</t>
        </is>
      </c>
    </row>
    <row r="15" ht="22" customHeight="1">
      <c r="B15" s="18" t="inlineStr">
        <is>
          <t>Critical Items</t>
        </is>
      </c>
      <c r="C15" s="19">
        <f>COUNTIF('Gap Assessment'!J2:J100,"Critical")</f>
        <v/>
      </c>
    </row>
    <row r="16" ht="22" customHeight="1">
      <c r="B16" s="18" t="inlineStr">
        <is>
          <t>High Priority Items</t>
        </is>
      </c>
      <c r="C16" s="19">
        <f>COUNTIF('Gap Assessment'!J2:J100,"High")</f>
        <v/>
      </c>
    </row>
    <row r="17" ht="22" customHeight="1">
      <c r="B17" s="18" t="inlineStr">
        <is>
          <t>Medium Priority Items</t>
        </is>
      </c>
      <c r="C17" s="19">
        <f>COUNTIF('Gap Assessment'!J2:J100,"Medium")</f>
        <v/>
      </c>
    </row>
    <row r="18" ht="22" customHeight="1">
      <c r="B18" s="18" t="inlineStr">
        <is>
          <t>Low Priority Items</t>
        </is>
      </c>
      <c r="C18" s="19">
        <f>COUNTIF('Gap Assessment'!J2:J100,"Low")</f>
        <v/>
      </c>
    </row>
    <row r="20">
      <c r="B20" s="17" t="inlineStr">
        <is>
          <t>PER-SYSTEM COMPLIANCE SUMMARY</t>
        </is>
      </c>
    </row>
    <row r="21" ht="28" customHeight="1">
      <c r="B21" s="6" t="inlineStr">
        <is>
          <t>System ID</t>
        </is>
      </c>
      <c r="C21" s="6" t="inlineStr">
        <is>
          <t>Compliant</t>
        </is>
      </c>
      <c r="D21" s="6" t="inlineStr">
        <is>
          <t>Partial</t>
        </is>
      </c>
      <c r="E21" s="6" t="inlineStr">
        <is>
          <t>Non-Compliant</t>
        </is>
      </c>
      <c r="F21" s="6" t="inlineStr">
        <is>
          <t>N/A</t>
        </is>
      </c>
      <c r="G21" s="6" t="inlineStr">
        <is>
          <t>Compliance %</t>
        </is>
      </c>
    </row>
    <row r="22" ht="22" customHeight="1">
      <c r="A22" s="7" t="n"/>
      <c r="B22" s="7" t="inlineStr">
        <is>
          <t>AI-001</t>
        </is>
      </c>
      <c r="C22" s="7">
        <f>COUNTIFS('Gap Assessment'!A2:A100,B22,'Gap Assessment'!F2:F100,"Compliant")</f>
        <v/>
      </c>
      <c r="D22" s="7">
        <f>COUNTIFS('Gap Assessment'!A2:A100,B22,'Gap Assessment'!F2:F100,"Partially Compliant")</f>
        <v/>
      </c>
      <c r="E22" s="7">
        <f>COUNTIFS('Gap Assessment'!A2:A100,B22,'Gap Assessment'!F2:F100,"Non-Compliant")</f>
        <v/>
      </c>
      <c r="F22" s="7">
        <f>COUNTIFS('Gap Assessment'!A2:A100,B22,'Gap Assessment'!F2:F100,"Not Applicable")</f>
        <v/>
      </c>
      <c r="G22" s="21">
        <f>IF((C22+D22+E22)&gt;0,C22/(C22+D22+E22),0)</f>
        <v/>
      </c>
    </row>
    <row r="23" ht="22" customHeight="1">
      <c r="A23" s="11" t="n"/>
      <c r="B23" s="11" t="inlineStr">
        <is>
          <t>AI-002</t>
        </is>
      </c>
      <c r="C23" s="11">
        <f>COUNTIFS('Gap Assessment'!A2:A100,B23,'Gap Assessment'!F2:F100,"Compliant")</f>
        <v/>
      </c>
      <c r="D23" s="11">
        <f>COUNTIFS('Gap Assessment'!A2:A100,B23,'Gap Assessment'!F2:F100,"Partially Compliant")</f>
        <v/>
      </c>
      <c r="E23" s="11">
        <f>COUNTIFS('Gap Assessment'!A2:A100,B23,'Gap Assessment'!F2:F100,"Non-Compliant")</f>
        <v/>
      </c>
      <c r="F23" s="11">
        <f>COUNTIFS('Gap Assessment'!A2:A100,B23,'Gap Assessment'!F2:F100,"Not Applicable")</f>
        <v/>
      </c>
      <c r="G23" s="22">
        <f>IF((C23+D23+E23)&gt;0,C23/(C23+D23+E23),0)</f>
        <v/>
      </c>
    </row>
    <row r="24" ht="22" customHeight="1">
      <c r="A24" s="7" t="n"/>
      <c r="B24" s="7" t="inlineStr">
        <is>
          <t>AI-003</t>
        </is>
      </c>
      <c r="C24" s="7">
        <f>COUNTIFS('Gap Assessment'!A2:A100,B24,'Gap Assessment'!F2:F100,"Compliant")</f>
        <v/>
      </c>
      <c r="D24" s="7">
        <f>COUNTIFS('Gap Assessment'!A2:A100,B24,'Gap Assessment'!F2:F100,"Partially Compliant")</f>
        <v/>
      </c>
      <c r="E24" s="7">
        <f>COUNTIFS('Gap Assessment'!A2:A100,B24,'Gap Assessment'!F2:F100,"Non-Compliant")</f>
        <v/>
      </c>
      <c r="F24" s="7">
        <f>COUNTIFS('Gap Assessment'!A2:A100,B24,'Gap Assessment'!F2:F100,"Not Applicable")</f>
        <v/>
      </c>
      <c r="G24" s="21">
        <f>IF((C24+D24+E24)&gt;0,C24/(C24+D24+E24),0)</f>
        <v/>
      </c>
    </row>
    <row r="26">
      <c r="B26" s="17" t="inlineStr">
        <is>
          <t>MATURITY METRICS</t>
        </is>
      </c>
    </row>
    <row r="27" ht="22" customHeight="1">
      <c r="B27" s="18" t="inlineStr">
        <is>
          <t>Average Maturity Score (1-5)</t>
        </is>
      </c>
      <c r="C27" s="23">
        <f>IF(COUNT('Gap Assessment'!G2:G100)&gt;0,AVERAGE('Gap Assessment'!G2:G100),0)</f>
        <v/>
      </c>
    </row>
    <row r="28" ht="22" customHeight="1">
      <c r="B28" s="18" t="inlineStr">
        <is>
          <t>Lowest Maturity Score</t>
        </is>
      </c>
      <c r="C28" s="23">
        <f>IF(COUNT('Gap Assessment'!G2:G100)&gt;0,MIN('Gap Assessment'!G2:G100),0)</f>
        <v/>
      </c>
    </row>
    <row r="29" ht="22" customHeight="1">
      <c r="B29" s="18" t="inlineStr">
        <is>
          <t>Items at Maturity 1 (Absent)</t>
        </is>
      </c>
      <c r="C29" s="19">
        <f>COUNTIF('Gap Assessment'!G2:G100,1)</f>
        <v/>
      </c>
    </row>
    <row r="30" ht="22" customHeight="1">
      <c r="B30" s="18" t="inlineStr">
        <is>
          <t>Items at Maturity 2 (Ad Hoc)</t>
        </is>
      </c>
      <c r="C30" s="19">
        <f>COUNTIF('Gap Assessment'!G2:G100,2)</f>
        <v/>
      </c>
    </row>
    <row r="31" ht="22" customHeight="1">
      <c r="B31" s="18" t="inlineStr">
        <is>
          <t>Items at Maturity 3 (Structured)</t>
        </is>
      </c>
      <c r="C31" s="19">
        <f>COUNTIF('Gap Assessment'!G2:G100,3)</f>
        <v/>
      </c>
    </row>
    <row r="32" ht="22" customHeight="1">
      <c r="B32" s="18" t="inlineStr">
        <is>
          <t>Items at Maturity 4 (Continuous)</t>
        </is>
      </c>
      <c r="C32" s="19">
        <f>COUNTIF('Gap Assessment'!G2:G100,4)</f>
        <v/>
      </c>
    </row>
    <row r="33" ht="22" customHeight="1">
      <c r="B33" s="18" t="inlineStr">
        <is>
          <t>Items at Maturity 5 (Embedded)</t>
        </is>
      </c>
      <c r="C33" s="19">
        <f>COUNTIF('Gap Assessment'!G2:G100,5)</f>
        <v/>
      </c>
    </row>
    <row r="36">
      <c r="B36" s="5" t="inlineStr">
        <is>
          <t>hexis.center · EU AI Act Compliance Starter Kit · Regulation (EU) 2024/1689</t>
        </is>
      </c>
    </row>
  </sheetData>
  <mergeCells count="4">
    <mergeCell ref="B3:G3"/>
    <mergeCell ref="B14:G14"/>
    <mergeCell ref="B20:G20"/>
    <mergeCell ref="B26:G26"/>
  </mergeCells>
  <pageMargins left="0.5" right="0.5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2026-03-25T15:04:29Z</dcterms:created>
  <dcterms:modified xmlns:dcterms="http://purl.org/dc/terms/" xmlns:xsi="http://www.w3.org/2001/XMLSchema-instance" xsi:type="dcterms:W3CDTF">2026-03-25T15:12:59Z</dcterms:modified>
</cp:coreProperties>
</file>