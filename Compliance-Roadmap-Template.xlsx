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Timeline View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1" hidden="1">'Roadmap'!$A$1:$P$11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0.0"/>
  </numFmts>
  <fonts count="14">
    <font>
      <name val="Calibri"/>
      <family val="2"/>
      <color theme="1"/>
      <sz val="11"/>
      <scheme val="minor"/>
    </font>
    <font>
      <name val="Georgia"/>
      <b val="1"/>
      <color rgb="001C1E23"/>
      <sz val="16"/>
    </font>
    <font>
      <name val="Arial"/>
      <color rgb="00B2986C"/>
      <sz val="10"/>
    </font>
    <font>
      <name val="Arial"/>
      <b val="1"/>
      <color rgb="00B2986C"/>
      <sz val="9"/>
    </font>
    <font>
      <name val="Arial"/>
      <color rgb="001C1E23"/>
      <sz val="9"/>
    </font>
    <font>
      <name val="Arial"/>
      <color rgb="00686662"/>
      <sz val="8"/>
    </font>
    <font>
      <name val="Arial"/>
      <b val="1"/>
      <color rgb="00FFFFFF"/>
      <sz val="9"/>
    </font>
    <font>
      <name val="Arial"/>
      <b val="1"/>
      <color rgb="00A94442"/>
      <sz val="7"/>
    </font>
    <font>
      <name val="Arial"/>
      <b val="1"/>
      <color rgb="001C1E23"/>
      <sz val="8"/>
    </font>
    <font>
      <name val="Arial"/>
      <color rgb="001C1E23"/>
      <sz val="8"/>
    </font>
    <font>
      <name val="Georgia"/>
      <b val="1"/>
      <color rgb="001C1E23"/>
      <sz val="14"/>
    </font>
    <font>
      <name val="Arial"/>
      <b val="1"/>
      <color rgb="00B2986C"/>
      <sz val="10"/>
    </font>
    <font>
      <name val="Arial"/>
      <b val="1"/>
      <color rgb="001C1E23"/>
      <sz val="10"/>
    </font>
    <font>
      <name val="Arial"/>
      <b val="1"/>
      <color rgb="00A94442"/>
      <sz val="10"/>
    </font>
  </fonts>
  <fills count="11">
    <fill>
      <patternFill/>
    </fill>
    <fill>
      <patternFill patternType="gray125"/>
    </fill>
    <fill>
      <patternFill patternType="solid">
        <fgColor rgb="00F5F0E8"/>
        <bgColor rgb="00F5F0E8"/>
      </patternFill>
    </fill>
    <fill>
      <patternFill patternType="solid">
        <fgColor rgb="001C1E23"/>
        <bgColor rgb="001C1E23"/>
      </patternFill>
    </fill>
    <fill>
      <patternFill patternType="solid">
        <fgColor rgb="00F8F7F5"/>
        <bgColor rgb="00F8F7F5"/>
      </patternFill>
    </fill>
    <fill>
      <patternFill patternType="solid">
        <fgColor rgb="00FFFFFF"/>
        <bgColor rgb="00FFFFFF"/>
      </patternFill>
    </fill>
    <fill>
      <patternFill patternType="solid">
        <fgColor rgb="00B2986C"/>
        <bgColor rgb="00B2986C"/>
      </patternFill>
    </fill>
    <fill>
      <patternFill patternType="solid">
        <fgColor rgb="00F2DEDE"/>
        <bgColor rgb="00F2DEDE"/>
      </patternFill>
    </fill>
    <fill>
      <patternFill patternType="solid">
        <fgColor rgb="00D6E9F8"/>
        <bgColor rgb="00D6E9F8"/>
      </patternFill>
    </fill>
    <fill>
      <patternFill patternType="solid">
        <fgColor rgb="00FCF8E3"/>
        <bgColor rgb="00FCF8E3"/>
      </patternFill>
    </fill>
    <fill>
      <patternFill patternType="solid">
        <fgColor rgb="00DFF0D8"/>
        <bgColor rgb="00DFF0D8"/>
      </patternFill>
    </fill>
  </fills>
  <borders count="3">
    <border>
      <left/>
      <right/>
      <top/>
      <bottom/>
      <diagonal/>
    </border>
    <border>
      <left style="thin">
        <color rgb="001C1E23"/>
      </left>
      <right style="thin">
        <color rgb="001C1E23"/>
      </right>
      <bottom style="medium">
        <color rgb="001C1E23"/>
      </bottom>
    </border>
    <border>
      <left style="thin">
        <color rgb="00E8E6E2"/>
      </left>
      <right style="thin">
        <color rgb="00E8E6E2"/>
      </right>
      <top style="thin">
        <color rgb="00E8E6E2"/>
      </top>
      <bottom style="thin">
        <color rgb="00E8E6E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4" fontId="4" fillId="5" borderId="2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7" borderId="0" applyAlignment="1" pivotButton="0" quotePrefix="0" xfId="0">
      <alignment horizontal="center"/>
    </xf>
    <xf numFmtId="0" fontId="8" fillId="0" borderId="2" pivotButton="0" quotePrefix="0" xfId="0"/>
    <xf numFmtId="0" fontId="9" fillId="0" borderId="2" pivotButton="0" quotePrefix="0" xfId="0"/>
    <xf numFmtId="0" fontId="5" fillId="0" borderId="2" pivotButton="0" quotePrefix="0" xfId="0"/>
    <xf numFmtId="0" fontId="8" fillId="8" borderId="0" applyAlignment="1" pivotButton="0" quotePrefix="0" xfId="0">
      <alignment horizontal="center" vertical="center"/>
    </xf>
    <xf numFmtId="0" fontId="8" fillId="4" borderId="2" pivotButton="0" quotePrefix="0" xfId="0"/>
    <xf numFmtId="0" fontId="9" fillId="4" borderId="2" pivotButton="0" quotePrefix="0" xfId="0"/>
    <xf numFmtId="0" fontId="5" fillId="4" borderId="2" pivotButton="0" quotePrefix="0" xfId="0"/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2" borderId="0" pivotButton="0" quotePrefix="0" xfId="0"/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5" fontId="4" fillId="4" borderId="2" applyAlignment="1" pivotButton="0" quotePrefix="0" xfId="0">
      <alignment vertical="center" wrapText="1"/>
    </xf>
    <xf numFmtId="165" fontId="4" fillId="5" borderId="2" applyAlignment="1" pivotButton="0" quotePrefix="0" xfId="0">
      <alignment vertical="center" wrapText="1"/>
    </xf>
    <xf numFmtId="166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4" fontId="4" fillId="4" borderId="2" applyAlignment="1" pivotButton="0" quotePrefix="0" xfId="0">
      <alignment vertical="center" wrapText="1"/>
    </xf>
    <xf numFmtId="164" fontId="4" fillId="5" borderId="2" applyAlignment="1" pivotButton="0" quotePrefix="0" xfId="0">
      <alignment vertical="center" wrapText="1"/>
    </xf>
    <xf numFmtId="165" fontId="12" fillId="0" borderId="0" applyAlignment="1" pivotButton="0" quotePrefix="0" xfId="0">
      <alignment horizontal="center"/>
    </xf>
    <xf numFmtId="165" fontId="4" fillId="4" borderId="2" applyAlignment="1" pivotButton="0" quotePrefix="0" xfId="0">
      <alignment vertical="center" wrapText="1"/>
    </xf>
    <xf numFmtId="165" fontId="4" fillId="5" borderId="2" applyAlignment="1" pivotButton="0" quotePrefix="0" xfId="0">
      <alignment vertical="center" wrapText="1"/>
    </xf>
    <xf numFmtId="166" fontId="12" fillId="0" borderId="0" applyAlignment="1" pivotButton="0" quotePrefix="0" xfId="0">
      <alignment horizontal="center"/>
    </xf>
  </cellXfs>
  <cellStyles count="1">
    <cellStyle name="Normal" xfId="0" builtinId="0" hidden="0"/>
  </cellStyles>
  <dxfs count="7">
    <dxf>
      <font>
        <b val="1"/>
        <color rgb="003C763D"/>
      </font>
      <fill>
        <patternFill patternType="solid">
          <fgColor rgb="00DFF0D8"/>
          <bgColor rgb="00DFF0D8"/>
        </patternFill>
      </fill>
    </dxf>
    <dxf>
      <font>
        <b val="1"/>
        <color rgb="001A5276"/>
      </font>
      <fill>
        <patternFill patternType="solid">
          <fgColor rgb="00D6E9F8"/>
          <bgColor rgb="00D6E9F8"/>
        </patternFill>
      </fill>
    </dxf>
    <dxf>
      <font>
        <b val="1"/>
        <color rgb="00A94442"/>
      </font>
      <fill>
        <patternFill patternType="solid">
          <fgColor rgb="00F2DEDE"/>
          <bgColor rgb="00F2DEDE"/>
        </patternFill>
      </fill>
    </dxf>
    <dxf>
      <font>
        <b val="1"/>
        <color rgb="008A6D3B"/>
      </font>
      <fill>
        <patternFill patternType="solid">
          <fgColor rgb="00FCF8E3"/>
          <bgColor rgb="00FCF8E3"/>
        </patternFill>
      </fill>
    </dxf>
    <dxf>
      <font>
        <color rgb="00686662"/>
      </font>
      <fill>
        <patternFill patternType="solid">
          <fgColor rgb="00E8E6E2"/>
          <bgColor rgb="00E8E6E2"/>
        </patternFill>
      </fill>
    </dxf>
    <dxf>
      <font>
        <b val="1"/>
        <color rgb="00B45309"/>
      </font>
      <fill>
        <patternFill patternType="solid">
          <fgColor rgb="00FCF0E4"/>
          <bgColor rgb="00FCF0E4"/>
        </patternFill>
      </fill>
    </dxf>
    <dxf>
      <font>
        <color rgb="003C763D"/>
      </font>
      <fill>
        <patternFill patternType="solid">
          <fgColor rgb="00DFF0D8"/>
          <bgColor rgb="00DFF0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2986C"/>
    <outlinePr summaryBelow="1" summaryRight="1"/>
    <pageSetUpPr fitToPage="1"/>
  </sheetPr>
  <dimension ref="B1:B53"/>
  <sheetViews>
    <sheetView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1" ht="24" customHeight="1">
      <c r="B1" s="1" t="inlineStr">
        <is>
          <t>HEXIS — EU AI Act Compliance Roadmap</t>
        </is>
      </c>
    </row>
    <row r="2" ht="24" customHeight="1">
      <c r="B2" s="2" t="inlineStr">
        <is>
          <t>EU AI Act Compliance Starter Kit · Template #4 of 4</t>
        </is>
      </c>
    </row>
    <row r="3" ht="12" customHeight="1"/>
    <row r="4" ht="24" customHeight="1">
      <c r="B4" s="3" t="inlineStr">
        <is>
          <t>PURPOSE</t>
        </is>
      </c>
    </row>
    <row r="5" ht="38" customHeight="1">
      <c r="B5" s="4" t="inlineStr">
        <is>
          <t>This template transforms your compliance gap analysis into an actionable roadmap with milestones, owners, and deadlines. It provides a structured path from current state to full compliance.</t>
        </is>
      </c>
    </row>
    <row r="6" ht="12" customHeight="1"/>
    <row r="7" ht="24" customHeight="1">
      <c r="B7" s="3" t="inlineStr">
        <is>
          <t>PREREQUISITE TEMPLATES</t>
        </is>
      </c>
    </row>
    <row r="8" ht="24" customHeight="1">
      <c r="B8" s="4" t="inlineStr">
        <is>
          <t>1. AI System Inventory — identifies your AI systems (Template #1)</t>
        </is>
      </c>
    </row>
    <row r="9" ht="24" customHeight="1">
      <c r="B9" s="4" t="inlineStr">
        <is>
          <t>2. Risk Classification Worksheet — determines risk level per system (Template #2)</t>
        </is>
      </c>
    </row>
    <row r="10" ht="24" customHeight="1">
      <c r="B10" s="4" t="inlineStr">
        <is>
          <t>3. EU AI Act Compliance Assessment — identifies compliance gaps (Template #3)</t>
        </is>
      </c>
    </row>
    <row r="11" ht="24" customHeight="1">
      <c r="B11" s="4" t="inlineStr">
        <is>
          <t>Use those results to populate this roadmap.</t>
        </is>
      </c>
    </row>
    <row r="12" ht="12" customHeight="1"/>
    <row r="13" ht="24" customHeight="1">
      <c r="B13" s="3" t="inlineStr">
        <is>
          <t>HOW TO USE</t>
        </is>
      </c>
    </row>
    <row r="14" ht="38" customHeight="1">
      <c r="B14" s="4" t="inlineStr">
        <is>
          <t>Step 1: Transfer Non-Compliant and Partially Compliant items from the Assessment (Template #3) into the Roadmap sheet.</t>
        </is>
      </c>
    </row>
    <row r="15" ht="24" customHeight="1">
      <c r="B15" s="4" t="inlineStr">
        <is>
          <t>Step 2: Break each gap into specific actions with clear deliverables.</t>
        </is>
      </c>
    </row>
    <row r="16" ht="24" customHeight="1">
      <c r="B16" s="4" t="inlineStr">
        <is>
          <t>Step 3: Assign owners, set target dates aligned with EU AI Act deadlines, and estimate effort.</t>
        </is>
      </c>
    </row>
    <row r="17" ht="24" customHeight="1">
      <c r="B17" s="4" t="inlineStr">
        <is>
          <t>Step 4: Use the Timeline View to visualise your compliance journey month by month.</t>
        </is>
      </c>
    </row>
    <row r="18" ht="24" customHeight="1">
      <c r="B18" s="4" t="inlineStr">
        <is>
          <t>Step 5: Track progress on the Dashboard. Update status as actions are completed.</t>
        </is>
      </c>
    </row>
    <row r="19" ht="12" customHeight="1"/>
    <row r="20" ht="24" customHeight="1">
      <c r="B20" s="3" t="inlineStr">
        <is>
          <t>COMPLIANCE PHASES (SUGGESTED)</t>
        </is>
      </c>
    </row>
    <row r="21" ht="24" customHeight="1">
      <c r="B21" s="4" t="inlineStr">
        <is>
          <t>Phase 1 — Foundation (Months 1-3): Governance structure, risk management framework, AI literacy.</t>
        </is>
      </c>
    </row>
    <row r="22" ht="24" customHeight="1">
      <c r="B22" s="4" t="inlineStr">
        <is>
          <t>Phase 2 — Documentation (Months 3-6): Technical documentation, data governance, logging setup.</t>
        </is>
      </c>
    </row>
    <row r="23" ht="24" customHeight="1">
      <c r="B23" s="4" t="inlineStr">
        <is>
          <t>Phase 3 — Implementation (Months 6-9): Human oversight, accuracy/robustness, transparency.</t>
        </is>
      </c>
    </row>
    <row r="24" ht="24" customHeight="1">
      <c r="B24" s="4" t="inlineStr">
        <is>
          <t>Phase 4 — Validation (Months 9-12): Conformity assessment, FRIA, EU database registration.</t>
        </is>
      </c>
    </row>
    <row r="25" ht="24" customHeight="1">
      <c r="B25" s="4" t="inlineStr">
        <is>
          <t>Phase 5 — Maintenance (Ongoing): Post-market monitoring, incident reporting, periodic review.</t>
        </is>
      </c>
    </row>
    <row r="26" ht="12" customHeight="1"/>
    <row r="27" ht="24" customHeight="1">
      <c r="B27" s="3" t="inlineStr">
        <is>
          <t>ACTION STATUS DEFINITIONS</t>
        </is>
      </c>
    </row>
    <row r="28" ht="24" customHeight="1">
      <c r="B28" s="4" t="inlineStr">
        <is>
          <t>Not Started — Action has not been initiated.</t>
        </is>
      </c>
    </row>
    <row r="29" ht="24" customHeight="1">
      <c r="B29" s="4" t="inlineStr">
        <is>
          <t>In Progress — Work is underway but not yet complete.</t>
        </is>
      </c>
    </row>
    <row r="30" ht="24" customHeight="1">
      <c r="B30" s="4" t="inlineStr">
        <is>
          <t>Blocked — Action is blocked by a dependency or external factor.</t>
        </is>
      </c>
    </row>
    <row r="31" ht="24" customHeight="1">
      <c r="B31" s="4" t="inlineStr">
        <is>
          <t>Completed — Action is finished and evidence is documented.</t>
        </is>
      </c>
    </row>
    <row r="32" ht="24" customHeight="1">
      <c r="B32" s="4" t="inlineStr">
        <is>
          <t>Deferred — Action postponed with documented justification.</t>
        </is>
      </c>
    </row>
    <row r="33" ht="12" customHeight="1"/>
    <row r="34" ht="24" customHeight="1">
      <c r="B34" s="3" t="inlineStr">
        <is>
          <t>SYSTEM ID CONVENTION</t>
        </is>
      </c>
    </row>
    <row r="35" ht="38" customHeight="1">
      <c r="B35" s="4" t="inlineStr">
        <is>
          <t>Use 'ALL' as System ID for organisation-wide obligations that apply across all systems (e.g., AI Literacy, Post-Market Monitoring). Use specific IDs (AI-001, AI-002) for system-specific actions.</t>
        </is>
      </c>
    </row>
    <row r="36" ht="24" customHeight="1">
      <c r="B36" s="4" t="inlineStr">
        <is>
          <t>If a system falls under multiple Annex III areas, create separate action rows per obligation area.</t>
        </is>
      </c>
    </row>
    <row r="37" ht="12" customHeight="1"/>
    <row r="38" ht="24" customHeight="1">
      <c r="B38" s="3" t="inlineStr">
        <is>
          <t>ORIENT FRAMEWORK ALIGNMENT</t>
        </is>
      </c>
    </row>
    <row r="39" ht="38" customHeight="1">
      <c r="B39" s="4" t="inlineStr">
        <is>
          <t>HEXIS ORIENT: Observe (inventory) → Risk (classify) → Identify (map obligations) → Evaluate (assess gaps) → Navigate (plan actions) → Track (monitor).</t>
        </is>
      </c>
    </row>
    <row r="40" ht="24" customHeight="1">
      <c r="B40" s="4" t="inlineStr">
        <is>
          <t>This template maps to the Navigate and Track stages.</t>
        </is>
      </c>
    </row>
    <row r="41" ht="12" customHeight="1"/>
    <row r="42" ht="24" customHeight="1">
      <c r="B42" s="3" t="inlineStr">
        <is>
          <t>KEY DEADLINES REMINDER</t>
        </is>
      </c>
    </row>
    <row r="43" ht="24" customHeight="1">
      <c r="B43" s="4" t="inlineStr">
        <is>
          <t>Already in force: Prohibited practices (Art. 5) + AI literacy (Art. 4) — since 2 Feb 2025.</t>
        </is>
      </c>
    </row>
    <row r="44" ht="24" customHeight="1">
      <c r="B44" s="4" t="inlineStr">
        <is>
          <t>Already in force: GPAI obligations (Chapter V) — since 2 Aug 2025.</t>
        </is>
      </c>
    </row>
    <row r="45" ht="24" customHeight="1">
      <c r="B45" s="4" t="inlineStr">
        <is>
          <t>Upcoming: High-risk systems, Annex III — 2 Aug 2026.</t>
        </is>
      </c>
    </row>
    <row r="46" ht="24" customHeight="1">
      <c r="B46" s="4" t="inlineStr">
        <is>
          <t>Upcoming: High-risk systems, Annex I (product safety) — 2 Aug 2027.</t>
        </is>
      </c>
    </row>
    <row r="47" ht="24" customHeight="1">
      <c r="B47" s="4" t="inlineStr">
        <is>
          <t>Proposed: Digital Omnibus may extend deadlines if adopted — monitor status.</t>
        </is>
      </c>
    </row>
    <row r="48" ht="12" customHeight="1"/>
    <row r="49" ht="24" customHeight="1">
      <c r="B49" s="3" t="inlineStr">
        <is>
          <t>LEGAL DISCLAIMER</t>
        </is>
      </c>
    </row>
    <row r="50" ht="38" customHeight="1">
      <c r="B50" s="4" t="inlineStr">
        <is>
          <t>This template provides a structured planning framework. It does not constitute legal advice. Consult qualified legal counsel for compliance determinations.</t>
        </is>
      </c>
    </row>
    <row r="51" ht="12" customHeight="1"/>
    <row r="52" ht="12" customHeight="1"/>
    <row r="53" ht="24" customHeight="1">
      <c r="B53" s="5" t="inlineStr">
        <is>
          <t>hexis.center · EU AI Act Compliance Starter Kit · v1.0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C1E23"/>
    <outlinePr summaryBelow="1" summaryRight="1"/>
    <pageSetUpPr fitToPage="1"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4" customWidth="1" min="4" max="4"/>
    <col width="18" customWidth="1" min="5" max="5"/>
    <col width="38" customWidth="1" min="6" max="6"/>
    <col width="30" customWidth="1" min="7" max="7"/>
    <col width="16" customWidth="1" min="8" max="8"/>
    <col width="15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  <col width="24" customWidth="1" min="15" max="15"/>
    <col width="34" customWidth="1" min="16" max="16"/>
  </cols>
  <sheetData>
    <row r="1" ht="44" customHeight="1">
      <c r="A1" s="6" t="inlineStr">
        <is>
          <t>Action ID</t>
        </is>
      </c>
      <c r="B1" s="6" t="inlineStr">
        <is>
          <t>System ID</t>
        </is>
      </c>
      <c r="C1" s="6" t="inlineStr">
        <is>
          <t>Obligation Area</t>
        </is>
      </c>
      <c r="D1" s="6" t="inlineStr">
        <is>
          <t>EU AI Act
Article</t>
        </is>
      </c>
      <c r="E1" s="6" t="inlineStr">
        <is>
          <t>Compliance Phase</t>
        </is>
      </c>
      <c r="F1" s="6" t="inlineStr">
        <is>
          <t>Action Description</t>
        </is>
      </c>
      <c r="G1" s="6" t="inlineStr">
        <is>
          <t>Deliverable</t>
        </is>
      </c>
      <c r="H1" s="6" t="inlineStr">
        <is>
          <t>Owner</t>
        </is>
      </c>
      <c r="I1" s="6" t="inlineStr">
        <is>
          <t>Status</t>
        </is>
      </c>
      <c r="J1" s="6" t="inlineStr">
        <is>
          <t>Priority</t>
        </is>
      </c>
      <c r="K1" s="6" t="inlineStr">
        <is>
          <t>Start Date</t>
        </is>
      </c>
      <c r="L1" s="6" t="inlineStr">
        <is>
          <t>Target Date</t>
        </is>
      </c>
      <c r="M1" s="6" t="inlineStr">
        <is>
          <t>Completion
Date</t>
        </is>
      </c>
      <c r="N1" s="6" t="inlineStr">
        <is>
          <t>Effort
(Person-Days)</t>
        </is>
      </c>
      <c r="O1" s="6" t="inlineStr">
        <is>
          <t>Dependencies</t>
        </is>
      </c>
      <c r="P1" s="6" t="inlineStr">
        <is>
          <t>Notes / Evidence</t>
        </is>
      </c>
    </row>
    <row r="2">
      <c r="A2" s="7" t="inlineStr">
        <is>
          <t>ACT-001</t>
        </is>
      </c>
      <c r="B2" s="7" t="inlineStr">
        <is>
          <t>ALL</t>
        </is>
      </c>
      <c r="C2" s="7" t="inlineStr">
        <is>
          <t>AI Literacy &amp; Training</t>
        </is>
      </c>
      <c r="D2" s="7" t="inlineStr">
        <is>
          <t>Art. 4</t>
        </is>
      </c>
      <c r="E2" s="7" t="inlineStr">
        <is>
          <t>Phase 1 — Foundation</t>
        </is>
      </c>
      <c r="F2" s="7" t="inlineStr">
        <is>
          <t>Develop AI literacy training programme for all staff involved with AI systems.</t>
        </is>
      </c>
      <c r="G2" s="7" t="inlineStr">
        <is>
          <t>AI Literacy Training Programme + assessment criteria</t>
        </is>
      </c>
      <c r="H2" s="7" t="inlineStr">
        <is>
          <t>L&amp;D Team</t>
        </is>
      </c>
      <c r="I2" s="7" t="inlineStr">
        <is>
          <t>In Progress</t>
        </is>
      </c>
      <c r="J2" s="7" t="inlineStr">
        <is>
          <t>Critical</t>
        </is>
      </c>
      <c r="K2" s="33" t="n">
        <v>46082</v>
      </c>
      <c r="L2" s="33" t="n">
        <v>46157</v>
      </c>
      <c r="M2" s="7" t="n"/>
      <c r="N2" s="7" t="n">
        <v>15</v>
      </c>
      <c r="O2" s="7" t="inlineStr"/>
      <c r="P2" s="7" t="inlineStr">
        <is>
          <t>Art. 4 already in force since 2 Feb 2025. Priority remediation.</t>
        </is>
      </c>
    </row>
    <row r="3">
      <c r="A3" s="9" t="inlineStr">
        <is>
          <t>ACT-002</t>
        </is>
      </c>
      <c r="B3" s="9" t="inlineStr">
        <is>
          <t>AI-001</t>
        </is>
      </c>
      <c r="C3" s="9" t="inlineStr">
        <is>
          <t>Risk Management System</t>
        </is>
      </c>
      <c r="D3" s="9" t="inlineStr">
        <is>
          <t>Art. 9</t>
        </is>
      </c>
      <c r="E3" s="9" t="inlineStr">
        <is>
          <t>Phase 1 — Foundation</t>
        </is>
      </c>
      <c r="F3" s="9" t="inlineStr">
        <is>
          <t>Complete lifecycle risk assessment and update risk register to cover all stages per Art. 9.</t>
        </is>
      </c>
      <c r="G3" s="9" t="inlineStr">
        <is>
          <t>Updated Risk Register v3.0 with lifecycle coverage</t>
        </is>
      </c>
      <c r="H3" s="9" t="inlineStr">
        <is>
          <t>DPO Team</t>
        </is>
      </c>
      <c r="I3" s="9" t="inlineStr">
        <is>
          <t>Not Started</t>
        </is>
      </c>
      <c r="J3" s="9" t="inlineStr">
        <is>
          <t>High</t>
        </is>
      </c>
      <c r="K3" s="34" t="n">
        <v>46113</v>
      </c>
      <c r="L3" s="34" t="n">
        <v>46203</v>
      </c>
      <c r="M3" s="9" t="n"/>
      <c r="N3" s="9" t="n">
        <v>20</v>
      </c>
      <c r="O3" s="9" t="inlineStr"/>
      <c r="P3" s="9" t="inlineStr">
        <is>
          <t>Current register v2.1 missing residual risk assessment and lifecycle stages</t>
        </is>
      </c>
    </row>
    <row r="4">
      <c r="A4" s="7" t="inlineStr">
        <is>
          <t>ACT-003</t>
        </is>
      </c>
      <c r="B4" s="7" t="inlineStr">
        <is>
          <t>AI-001</t>
        </is>
      </c>
      <c r="C4" s="7" t="inlineStr">
        <is>
          <t>Data Governance</t>
        </is>
      </c>
      <c r="D4" s="7" t="inlineStr">
        <is>
          <t>Art. 10</t>
        </is>
      </c>
      <c r="E4" s="7" t="inlineStr">
        <is>
          <t>Phase 1 — Foundation</t>
        </is>
      </c>
      <c r="F4" s="7" t="inlineStr">
        <is>
          <t>Establish data governance framework for training data. Implement bias testing protocol.</t>
        </is>
      </c>
      <c r="G4" s="7" t="inlineStr">
        <is>
          <t>Data Governance Policy + Bias Testing Report</t>
        </is>
      </c>
      <c r="H4" s="7" t="inlineStr">
        <is>
          <t>Data Team</t>
        </is>
      </c>
      <c r="I4" s="7" t="inlineStr">
        <is>
          <t>Not Started</t>
        </is>
      </c>
      <c r="J4" s="7" t="inlineStr">
        <is>
          <t>Critical</t>
        </is>
      </c>
      <c r="K4" s="33" t="n">
        <v>46096</v>
      </c>
      <c r="L4" s="33" t="n">
        <v>46172</v>
      </c>
      <c r="M4" s="7" t="n"/>
      <c r="N4" s="7" t="n">
        <v>25</v>
      </c>
      <c r="O4" s="7" t="inlineStr"/>
      <c r="P4" s="7" t="inlineStr">
        <is>
          <t>No existing data governance. Requires new framework from scratch.</t>
        </is>
      </c>
    </row>
    <row r="5">
      <c r="A5" s="9" t="inlineStr">
        <is>
          <t>ACT-004</t>
        </is>
      </c>
      <c r="B5" s="9" t="inlineStr">
        <is>
          <t>AI-001</t>
        </is>
      </c>
      <c r="C5" s="9" t="inlineStr">
        <is>
          <t>Technical Documentation</t>
        </is>
      </c>
      <c r="D5" s="9" t="inlineStr">
        <is>
          <t>Art. 11</t>
        </is>
      </c>
      <c r="E5" s="9" t="inlineStr">
        <is>
          <t>Phase 2 — Documentation</t>
        </is>
      </c>
      <c r="F5" s="9" t="inlineStr">
        <is>
          <t>Restructure system documentation to meet Art. 11 and Annex IV requirements.</t>
        </is>
      </c>
      <c r="G5" s="9" t="inlineStr">
        <is>
          <t>Technical Documentation Package (Annex IV compliant)</t>
        </is>
      </c>
      <c r="H5" s="9" t="inlineStr">
        <is>
          <t>Engineering</t>
        </is>
      </c>
      <c r="I5" s="9" t="inlineStr">
        <is>
          <t>Not Started</t>
        </is>
      </c>
      <c r="J5" s="9" t="inlineStr">
        <is>
          <t>High</t>
        </is>
      </c>
      <c r="K5" s="34" t="n">
        <v>46143</v>
      </c>
      <c r="L5" s="34" t="n">
        <v>46218</v>
      </c>
      <c r="M5" s="9" t="n"/>
      <c r="N5" s="9" t="n">
        <v>30</v>
      </c>
      <c r="O5" s="9" t="inlineStr">
        <is>
          <t>ACT-002, ACT-003</t>
        </is>
      </c>
      <c r="P5" s="9" t="inlineStr">
        <is>
          <t>Depends on risk register and data governance being in place.</t>
        </is>
      </c>
    </row>
    <row r="6">
      <c r="A6" s="7" t="inlineStr">
        <is>
          <t>ACT-005</t>
        </is>
      </c>
      <c r="B6" s="7" t="inlineStr">
        <is>
          <t>AI-001</t>
        </is>
      </c>
      <c r="C6" s="7" t="inlineStr">
        <is>
          <t>Record-Keeping &amp; Logging</t>
        </is>
      </c>
      <c r="D6" s="7" t="inlineStr">
        <is>
          <t>Art. 12</t>
        </is>
      </c>
      <c r="E6" s="7" t="inlineStr">
        <is>
          <t>Phase 2 — Documentation</t>
        </is>
      </c>
      <c r="F6" s="7" t="inlineStr">
        <is>
          <t>Implement automatic logging system. Define log retention policy and audit trail.</t>
        </is>
      </c>
      <c r="G6" s="7" t="inlineStr">
        <is>
          <t>Logging System + Retention Policy Document</t>
        </is>
      </c>
      <c r="H6" s="7" t="inlineStr">
        <is>
          <t>Engineering</t>
        </is>
      </c>
      <c r="I6" s="7" t="inlineStr">
        <is>
          <t>Not Started</t>
        </is>
      </c>
      <c r="J6" s="7" t="inlineStr">
        <is>
          <t>Medium</t>
        </is>
      </c>
      <c r="K6" s="33" t="n">
        <v>46157</v>
      </c>
      <c r="L6" s="33" t="n">
        <v>46234</v>
      </c>
      <c r="M6" s="7" t="n"/>
      <c r="N6" s="7" t="n">
        <v>15</v>
      </c>
      <c r="O6" s="7" t="inlineStr">
        <is>
          <t>ACT-004</t>
        </is>
      </c>
      <c r="P6" s="7" t="inlineStr">
        <is>
          <t>Logging specs to be derived from technical documentation.</t>
        </is>
      </c>
    </row>
    <row r="7">
      <c r="A7" s="9" t="inlineStr">
        <is>
          <t>ACT-006</t>
        </is>
      </c>
      <c r="B7" s="9" t="inlineStr">
        <is>
          <t>AI-002</t>
        </is>
      </c>
      <c r="C7" s="9" t="inlineStr">
        <is>
          <t>Transparency Disclosure</t>
        </is>
      </c>
      <c r="D7" s="9" t="inlineStr">
        <is>
          <t>Art. 50</t>
        </is>
      </c>
      <c r="E7" s="9" t="inlineStr">
        <is>
          <t>Phase 3 — Implementation</t>
        </is>
      </c>
      <c r="F7" s="9" t="inlineStr">
        <is>
          <t>Enhance chatbot AI disclosure mechanism. Add content labelling for AI-generated responses.</t>
        </is>
      </c>
      <c r="G7" s="9" t="inlineStr">
        <is>
          <t>Enhanced disclosure UI + content labels</t>
        </is>
      </c>
      <c r="H7" s="9" t="inlineStr">
        <is>
          <t>Product Team</t>
        </is>
      </c>
      <c r="I7" s="9" t="inlineStr">
        <is>
          <t>Completed</t>
        </is>
      </c>
      <c r="J7" s="9" t="inlineStr">
        <is>
          <t>Low</t>
        </is>
      </c>
      <c r="K7" s="34" t="n">
        <v>46037</v>
      </c>
      <c r="L7" s="34" t="n">
        <v>46082</v>
      </c>
      <c r="M7" s="34" t="n">
        <v>46081</v>
      </c>
      <c r="N7" s="9" t="n">
        <v>5</v>
      </c>
      <c r="O7" s="9" t="inlineStr"/>
      <c r="P7" s="9" t="inlineStr">
        <is>
          <t>Completed ahead of schedule. Disclosure visible at conversation start.</t>
        </is>
      </c>
    </row>
    <row r="8">
      <c r="A8" s="7" t="inlineStr">
        <is>
          <t>ACT-007</t>
        </is>
      </c>
      <c r="B8" s="7" t="inlineStr">
        <is>
          <t>AI-003</t>
        </is>
      </c>
      <c r="C8" s="7" t="inlineStr">
        <is>
          <t>Conformity Assessment</t>
        </is>
      </c>
      <c r="D8" s="7" t="inlineStr">
        <is>
          <t>Art. 43</t>
        </is>
      </c>
      <c r="E8" s="7" t="inlineStr">
        <is>
          <t>Phase 3 — Implementation</t>
        </is>
      </c>
      <c r="F8" s="7" t="inlineStr">
        <is>
          <t>Initiate internal conformity assessment procedure for credit scoring system.</t>
        </is>
      </c>
      <c r="G8" s="7" t="inlineStr">
        <is>
          <t>Conformity Assessment Report + CE Declaration</t>
        </is>
      </c>
      <c r="H8" s="7" t="inlineStr">
        <is>
          <t>Compliance</t>
        </is>
      </c>
      <c r="I8" s="7" t="inlineStr">
        <is>
          <t>Not Started</t>
        </is>
      </c>
      <c r="J8" s="7" t="inlineStr">
        <is>
          <t>Critical</t>
        </is>
      </c>
      <c r="K8" s="33" t="n">
        <v>46174</v>
      </c>
      <c r="L8" s="33" t="n">
        <v>46235</v>
      </c>
      <c r="M8" s="7" t="n"/>
      <c r="N8" s="7" t="n">
        <v>40</v>
      </c>
      <c r="O8" s="7" t="inlineStr">
        <is>
          <t>ACT-002</t>
        </is>
      </c>
      <c r="P8" s="7" t="inlineStr">
        <is>
          <t>Credit scoring = Annex III §5(b) high-risk. Internal assessment sufficient (not biometric).</t>
        </is>
      </c>
    </row>
    <row r="9">
      <c r="A9" s="9" t="inlineStr">
        <is>
          <t>ACT-008</t>
        </is>
      </c>
      <c r="B9" s="9" t="inlineStr">
        <is>
          <t>AI-001</t>
        </is>
      </c>
      <c r="C9" s="9" t="inlineStr">
        <is>
          <t>EU Database Registration</t>
        </is>
      </c>
      <c r="D9" s="9" t="inlineStr">
        <is>
          <t>Art. 49</t>
        </is>
      </c>
      <c r="E9" s="9" t="inlineStr">
        <is>
          <t>Phase 4 — Validation</t>
        </is>
      </c>
      <c r="F9" s="9" t="inlineStr">
        <is>
          <t>Register TalentAI HR Screening in EU database before deployment.</t>
        </is>
      </c>
      <c r="G9" s="9" t="inlineStr">
        <is>
          <t>EU Database Registration Confirmation</t>
        </is>
      </c>
      <c r="H9" s="9" t="inlineStr">
        <is>
          <t>Compliance</t>
        </is>
      </c>
      <c r="I9" s="9" t="inlineStr">
        <is>
          <t>Not Started</t>
        </is>
      </c>
      <c r="J9" s="9" t="inlineStr">
        <is>
          <t>High</t>
        </is>
      </c>
      <c r="K9" s="34" t="n">
        <v>46204</v>
      </c>
      <c r="L9" s="34" t="n">
        <v>46234</v>
      </c>
      <c r="M9" s="9" t="n"/>
      <c r="N9" s="9" t="n">
        <v>3</v>
      </c>
      <c r="O9" s="9" t="inlineStr">
        <is>
          <t>ACT-004, ACT-007</t>
        </is>
      </c>
      <c r="P9" s="9" t="inlineStr">
        <is>
          <t>Registration requires conformity assessment to be complete.</t>
        </is>
      </c>
    </row>
    <row r="10">
      <c r="A10" s="7" t="inlineStr">
        <is>
          <t>ACT-009</t>
        </is>
      </c>
      <c r="B10" s="7" t="inlineStr">
        <is>
          <t>ALL</t>
        </is>
      </c>
      <c r="C10" s="7" t="inlineStr">
        <is>
          <t>Post-Market Monitoring</t>
        </is>
      </c>
      <c r="D10" s="7" t="inlineStr">
        <is>
          <t>Art. 72</t>
        </is>
      </c>
      <c r="E10" s="7" t="inlineStr">
        <is>
          <t>Phase 5 — Maintenance</t>
        </is>
      </c>
      <c r="F10" s="7" t="inlineStr">
        <is>
          <t>Establish post-market monitoring system for all high-risk AI systems.</t>
        </is>
      </c>
      <c r="G10" s="7" t="inlineStr">
        <is>
          <t>Post-Market Monitoring Plan + quarterly review schedule</t>
        </is>
      </c>
      <c r="H10" s="7" t="inlineStr">
        <is>
          <t>Risk Team</t>
        </is>
      </c>
      <c r="I10" s="7" t="inlineStr">
        <is>
          <t>Not Started</t>
        </is>
      </c>
      <c r="J10" s="7" t="inlineStr">
        <is>
          <t>Medium</t>
        </is>
      </c>
      <c r="K10" s="33" t="n">
        <v>46218</v>
      </c>
      <c r="L10" s="33" t="n">
        <v>46295</v>
      </c>
      <c r="M10" s="7" t="n"/>
      <c r="N10" s="7" t="n">
        <v>10</v>
      </c>
      <c r="O10" s="7" t="inlineStr">
        <is>
          <t>ACT-002</t>
        </is>
      </c>
      <c r="P10" s="7" t="inlineStr">
        <is>
          <t>Proportionate to risk. Include feedback loops and incident triggers.</t>
        </is>
      </c>
    </row>
    <row r="11">
      <c r="A11" s="9" t="inlineStr">
        <is>
          <t>ACT-010</t>
        </is>
      </c>
      <c r="B11" s="9" t="inlineStr">
        <is>
          <t>ALL</t>
        </is>
      </c>
      <c r="C11" s="9" t="inlineStr">
        <is>
          <t>Serious Incident Reporting</t>
        </is>
      </c>
      <c r="D11" s="9" t="inlineStr">
        <is>
          <t>Art. 73</t>
        </is>
      </c>
      <c r="E11" s="9" t="inlineStr">
        <is>
          <t>Phase 5 — Maintenance</t>
        </is>
      </c>
      <c r="F11" s="9" t="inlineStr">
        <is>
          <t>Define incident reporting procedure and designate responsible contact for authority reporting.</t>
        </is>
      </c>
      <c r="G11" s="9" t="inlineStr">
        <is>
          <t>Incident Reporting SOP + authority contact details</t>
        </is>
      </c>
      <c r="H11" s="9" t="inlineStr">
        <is>
          <t>Compliance</t>
        </is>
      </c>
      <c r="I11" s="9" t="inlineStr">
        <is>
          <t>Not Started</t>
        </is>
      </c>
      <c r="J11" s="9" t="inlineStr">
        <is>
          <t>High</t>
        </is>
      </c>
      <c r="K11" s="34" t="n">
        <v>46174</v>
      </c>
      <c r="L11" s="34" t="n">
        <v>46234</v>
      </c>
      <c r="M11" s="9" t="n"/>
      <c r="N11" s="9" t="n">
        <v>5</v>
      </c>
      <c r="O11" s="9" t="inlineStr"/>
      <c r="P11" s="9" t="inlineStr">
        <is>
          <t>Tiered deadlines: 15 days (standard), 10 days (death), 2 days (critical infrastructure). Define thresholds and escalation path.</t>
        </is>
      </c>
    </row>
  </sheetData>
  <autoFilter ref="A1:P11"/>
  <conditionalFormatting sqref="I2:I10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  <cfRule type="cellIs" priority="5" operator="equal" dxfId="4">
      <formula>"Deferred"</formula>
    </cfRule>
  </conditionalFormatting>
  <conditionalFormatting sqref="J2:J100">
    <cfRule type="cellIs" priority="6" operator="equal" dxfId="2">
      <formula>"Critical"</formula>
    </cfRule>
    <cfRule type="cellIs" priority="7" operator="equal" dxfId="5">
      <formula>"High"</formula>
    </cfRule>
    <cfRule type="cellIs" priority="8" operator="equal" dxfId="3">
      <formula>"Medium"</formula>
    </cfRule>
    <cfRule type="cellIs" priority="9" operator="equal" dxfId="6">
      <formula>"Low"</formula>
    </cfRule>
  </conditionalFormatting>
  <dataValidations count="7">
    <dataValidation sqref="E2:E100" showDropDown="0" showInputMessage="1" showErrorMessage="0" allowBlank="1" promptTitle="Compliance Phase" prompt="Select compliance phase" type="list">
      <formula1>"Phase 1 — Foundation,Phase 2 — Documentation,Phase 3 — Implementation,Phase 4 — Validation,Phase 5 — Maintenance"</formula1>
    </dataValidation>
    <dataValidation sqref="I2:I100" showDropDown="0" showInputMessage="1" showErrorMessage="0" allowBlank="1" promptTitle="Status" prompt="Select action status" type="list">
      <formula1>"Not Started,In Progress,Blocked,Completed,Deferred"</formula1>
    </dataValidation>
    <dataValidation sqref="J2:J100" showDropDown="0" showInputMessage="1" showErrorMessage="0" allowBlank="1" promptTitle="Priority" prompt="Critical = immediate | High = before deadline | Medium = planned | Low = nice to have" type="list">
      <formula1>"Critical,High,Medium,Low"</formula1>
    </dataValidation>
    <dataValidation sqref="N2:N100" showDropDown="0" showInputMessage="1" showErrorMessage="0" allowBlank="1" promptTitle="Effort Estimate" prompt="Estimated effort in person-days" type="whole" operator="between">
      <formula1>1</formula1>
      <formula2>365</formula2>
    </dataValidation>
    <dataValidation sqref="K2:K100" showDropDown="0" showInputMessage="1" showErrorMessage="0" allowBlank="1" promptTitle="Start Date" prompt="Enter start date" type="date"/>
    <dataValidation sqref="L2:L100" showDropDown="0" showInputMessage="1" showErrorMessage="0" allowBlank="1" promptTitle="Target Date" prompt="Enter target completion date" type="date"/>
    <dataValidation sqref="M2:M100" showDropDown="0" showInputMessage="1" showErrorMessage="0" allowBlank="1" promptTitle="Completion Date" prompt="Enter actual completion date" type="date"/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2986C"/>
    <outlinePr summaryBelow="1" summaryRight="1"/>
    <pageSetUpPr fitToPage="1"/>
  </sheetPr>
  <dimension ref="A1:P12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28" customHeight="1">
      <c r="A1" s="6" t="inlineStr">
        <is>
          <t>Action ID</t>
        </is>
      </c>
      <c r="B1" s="6" t="inlineStr">
        <is>
          <t>Action Description</t>
        </is>
      </c>
      <c r="C1" s="6" t="inlineStr">
        <is>
          <t>Owner</t>
        </is>
      </c>
      <c r="D1" s="6" t="inlineStr">
        <is>
          <t>Status</t>
        </is>
      </c>
      <c r="E1" s="11" t="inlineStr">
        <is>
          <t>Mar 2026</t>
        </is>
      </c>
      <c r="F1" s="11" t="inlineStr">
        <is>
          <t>Apr 2026</t>
        </is>
      </c>
      <c r="G1" s="11" t="inlineStr">
        <is>
          <t>May 2026</t>
        </is>
      </c>
      <c r="H1" s="11" t="inlineStr">
        <is>
          <t>Jun 2026</t>
        </is>
      </c>
      <c r="I1" s="11" t="inlineStr">
        <is>
          <t>Jul 2026</t>
        </is>
      </c>
      <c r="J1" s="11" t="inlineStr">
        <is>
          <t>Aug 2026</t>
        </is>
      </c>
      <c r="K1" s="11" t="inlineStr">
        <is>
          <t>Sep 2026</t>
        </is>
      </c>
      <c r="L1" s="11" t="inlineStr">
        <is>
          <t>Oct 2026</t>
        </is>
      </c>
      <c r="M1" s="11" t="inlineStr">
        <is>
          <t>Nov 2026</t>
        </is>
      </c>
      <c r="N1" s="11" t="inlineStr">
        <is>
          <t>Dec 2026</t>
        </is>
      </c>
      <c r="O1" s="11" t="inlineStr">
        <is>
          <t>Jan 2027</t>
        </is>
      </c>
      <c r="P1" s="11" t="inlineStr">
        <is>
          <t>Feb 2027</t>
        </is>
      </c>
    </row>
    <row r="2" ht="18" customHeight="1">
      <c r="A2" s="5" t="inlineStr"/>
      <c r="B2" s="12" t="inlineStr">
        <is>
          <t>EU AI Act Annex III deadline: 2 Aug 2026</t>
        </is>
      </c>
      <c r="J2" s="13" t="inlineStr">
        <is>
          <t>⚑ DEADLINE</t>
        </is>
      </c>
    </row>
    <row r="3" ht="22" customHeight="1">
      <c r="A3" s="14" t="inlineStr">
        <is>
          <t>ACT-001</t>
        </is>
      </c>
      <c r="B3" s="15" t="inlineStr">
        <is>
          <t>AI Literacy Training Programme</t>
        </is>
      </c>
      <c r="C3" s="16" t="inlineStr">
        <is>
          <t>L&amp;D Team</t>
        </is>
      </c>
      <c r="D3" s="14" t="inlineStr">
        <is>
          <t>In Progress</t>
        </is>
      </c>
      <c r="E3" s="17" t="inlineStr">
        <is>
          <t>▬</t>
        </is>
      </c>
      <c r="F3" s="17" t="inlineStr">
        <is>
          <t>▬</t>
        </is>
      </c>
      <c r="G3" s="17" t="inlineStr">
        <is>
          <t>▬</t>
        </is>
      </c>
    </row>
    <row r="4" ht="22" customHeight="1">
      <c r="A4" s="18" t="inlineStr">
        <is>
          <t>ACT-002</t>
        </is>
      </c>
      <c r="B4" s="19" t="inlineStr">
        <is>
          <t>Complete Risk Register v3.0</t>
        </is>
      </c>
      <c r="C4" s="20" t="inlineStr">
        <is>
          <t>DPO Team</t>
        </is>
      </c>
      <c r="D4" s="18" t="inlineStr">
        <is>
          <t>Not Started</t>
        </is>
      </c>
      <c r="F4" s="21" t="inlineStr">
        <is>
          <t>▬</t>
        </is>
      </c>
      <c r="G4" s="21" t="inlineStr">
        <is>
          <t>▬</t>
        </is>
      </c>
      <c r="H4" s="21" t="inlineStr">
        <is>
          <t>▬</t>
        </is>
      </c>
    </row>
    <row r="5" ht="22" customHeight="1">
      <c r="A5" s="14" t="inlineStr">
        <is>
          <t>ACT-003</t>
        </is>
      </c>
      <c r="B5" s="15" t="inlineStr">
        <is>
          <t>Data Governance Framework</t>
        </is>
      </c>
      <c r="C5" s="16" t="inlineStr">
        <is>
          <t>Data Team</t>
        </is>
      </c>
      <c r="D5" s="14" t="inlineStr">
        <is>
          <t>Not Started</t>
        </is>
      </c>
      <c r="E5" s="21" t="inlineStr">
        <is>
          <t>▬</t>
        </is>
      </c>
      <c r="F5" s="21" t="inlineStr">
        <is>
          <t>▬</t>
        </is>
      </c>
      <c r="G5" s="21" t="inlineStr">
        <is>
          <t>▬</t>
        </is>
      </c>
    </row>
    <row r="6" ht="22" customHeight="1">
      <c r="A6" s="18" t="inlineStr">
        <is>
          <t>ACT-004</t>
        </is>
      </c>
      <c r="B6" s="19" t="inlineStr">
        <is>
          <t>Technical Documentation (Annex IV)</t>
        </is>
      </c>
      <c r="C6" s="20" t="inlineStr">
        <is>
          <t>Engineering</t>
        </is>
      </c>
      <c r="D6" s="18" t="inlineStr">
        <is>
          <t>Not Started</t>
        </is>
      </c>
      <c r="G6" s="21" t="inlineStr">
        <is>
          <t>▬</t>
        </is>
      </c>
      <c r="H6" s="21" t="inlineStr">
        <is>
          <t>▬</t>
        </is>
      </c>
      <c r="I6" s="21" t="inlineStr">
        <is>
          <t>▬</t>
        </is>
      </c>
    </row>
    <row r="7" ht="22" customHeight="1">
      <c r="A7" s="14" t="inlineStr">
        <is>
          <t>ACT-005</t>
        </is>
      </c>
      <c r="B7" s="15" t="inlineStr">
        <is>
          <t>Logging System + Retention Policy</t>
        </is>
      </c>
      <c r="C7" s="16" t="inlineStr">
        <is>
          <t>Engineering</t>
        </is>
      </c>
      <c r="D7" s="14" t="inlineStr">
        <is>
          <t>Not Started</t>
        </is>
      </c>
      <c r="G7" s="21" t="inlineStr">
        <is>
          <t>▬</t>
        </is>
      </c>
      <c r="H7" s="21" t="inlineStr">
        <is>
          <t>▬</t>
        </is>
      </c>
      <c r="I7" s="21" t="inlineStr">
        <is>
          <t>▬</t>
        </is>
      </c>
    </row>
    <row r="8" ht="22" customHeight="1">
      <c r="A8" s="18" t="inlineStr">
        <is>
          <t>ACT-006</t>
        </is>
      </c>
      <c r="B8" s="19" t="inlineStr">
        <is>
          <t>Chatbot Transparency Disclosure</t>
        </is>
      </c>
      <c r="C8" s="20" t="inlineStr">
        <is>
          <t>Product Team</t>
        </is>
      </c>
      <c r="D8" s="18" t="inlineStr">
        <is>
          <t>Completed</t>
        </is>
      </c>
      <c r="O8" s="22" t="inlineStr">
        <is>
          <t>▬</t>
        </is>
      </c>
      <c r="P8" s="22" t="inlineStr">
        <is>
          <t>▬</t>
        </is>
      </c>
    </row>
    <row r="9" ht="22" customHeight="1">
      <c r="A9" s="14" t="inlineStr">
        <is>
          <t>ACT-007</t>
        </is>
      </c>
      <c r="B9" s="15" t="inlineStr">
        <is>
          <t>Conformity Assessment (Credit Scoring)</t>
        </is>
      </c>
      <c r="C9" s="16" t="inlineStr">
        <is>
          <t>Compliance</t>
        </is>
      </c>
      <c r="D9" s="14" t="inlineStr">
        <is>
          <t>Not Started</t>
        </is>
      </c>
      <c r="H9" s="21" t="inlineStr">
        <is>
          <t>▬</t>
        </is>
      </c>
      <c r="I9" s="21" t="inlineStr">
        <is>
          <t>▬</t>
        </is>
      </c>
      <c r="J9" s="21" t="inlineStr">
        <is>
          <t>▬</t>
        </is>
      </c>
    </row>
    <row r="10" ht="22" customHeight="1">
      <c r="A10" s="18" t="inlineStr">
        <is>
          <t>ACT-008</t>
        </is>
      </c>
      <c r="B10" s="19" t="inlineStr">
        <is>
          <t>EU Database Registration</t>
        </is>
      </c>
      <c r="C10" s="20" t="inlineStr">
        <is>
          <t>Compliance</t>
        </is>
      </c>
      <c r="D10" s="18" t="inlineStr">
        <is>
          <t>Not Started</t>
        </is>
      </c>
      <c r="I10" s="21" t="inlineStr">
        <is>
          <t>▬</t>
        </is>
      </c>
    </row>
    <row r="11" ht="22" customHeight="1">
      <c r="A11" s="14" t="inlineStr">
        <is>
          <t>ACT-009</t>
        </is>
      </c>
      <c r="B11" s="15" t="inlineStr">
        <is>
          <t>Post-Market Monitoring Plan</t>
        </is>
      </c>
      <c r="C11" s="16" t="inlineStr">
        <is>
          <t>Risk Team</t>
        </is>
      </c>
      <c r="D11" s="14" t="inlineStr">
        <is>
          <t>Not Started</t>
        </is>
      </c>
      <c r="I11" s="21" t="inlineStr">
        <is>
          <t>▬</t>
        </is>
      </c>
      <c r="J11" s="21" t="inlineStr">
        <is>
          <t>▬</t>
        </is>
      </c>
      <c r="K11" s="21" t="inlineStr">
        <is>
          <t>▬</t>
        </is>
      </c>
    </row>
    <row r="12" ht="22" customHeight="1">
      <c r="A12" s="18" t="inlineStr">
        <is>
          <t>ACT-010</t>
        </is>
      </c>
      <c r="B12" s="19" t="inlineStr">
        <is>
          <t>Incident Reporting SOP</t>
        </is>
      </c>
      <c r="C12" s="20" t="inlineStr">
        <is>
          <t>Compliance</t>
        </is>
      </c>
      <c r="D12" s="18" t="inlineStr">
        <is>
          <t>Not Started</t>
        </is>
      </c>
      <c r="H12" s="21" t="inlineStr">
        <is>
          <t>▬</t>
        </is>
      </c>
      <c r="I12" s="21" t="inlineStr">
        <is>
          <t>▬</t>
        </is>
      </c>
    </row>
  </sheetData>
  <conditionalFormatting sqref="D3:D100">
    <cfRule type="cellIs" priority="1" operator="equal" dxfId="0">
      <formula>"Completed"</formula>
    </cfRule>
    <cfRule type="cellIs" priority="2" operator="equal" dxfId="1">
      <formula>"In Progress"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C1E23"/>
    <outlinePr summaryBelow="1" summaryRight="1"/>
    <pageSetUpPr fitToPage="1"/>
  </sheetPr>
  <dimension ref="A1:G4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B1" s="23" t="inlineStr">
        <is>
          <t>Compliance Roadmap — Dashboard</t>
        </is>
      </c>
    </row>
    <row r="3">
      <c r="B3" s="24" t="inlineStr">
        <is>
          <t>OVERALL PROGRESS</t>
        </is>
      </c>
    </row>
    <row r="4" ht="22" customHeight="1">
      <c r="B4" s="25" t="inlineStr">
        <is>
          <t>Total Actions</t>
        </is>
      </c>
      <c r="C4" s="26">
        <f>COUNTA(Roadmap!I2:I100)</f>
        <v/>
      </c>
    </row>
    <row r="5" ht="22" customHeight="1">
      <c r="B5" s="25" t="inlineStr">
        <is>
          <t>Completed</t>
        </is>
      </c>
      <c r="C5" s="26">
        <f>COUNTIF(Roadmap!I2:I100,"Completed")</f>
        <v/>
      </c>
    </row>
    <row r="6" ht="22" customHeight="1">
      <c r="B6" s="25" t="inlineStr">
        <is>
          <t>In Progress</t>
        </is>
      </c>
      <c r="C6" s="26">
        <f>COUNTIF(Roadmap!I2:I100,"In Progress")</f>
        <v/>
      </c>
    </row>
    <row r="7" ht="22" customHeight="1">
      <c r="B7" s="25" t="inlineStr">
        <is>
          <t>Not Started</t>
        </is>
      </c>
      <c r="C7" s="26">
        <f>COUNTIF(Roadmap!I2:I100,"Not Started")</f>
        <v/>
      </c>
    </row>
    <row r="8" ht="22" customHeight="1">
      <c r="B8" s="25" t="inlineStr">
        <is>
          <t>Blocked</t>
        </is>
      </c>
      <c r="C8" s="26">
        <f>COUNTIF(Roadmap!I2:I100,"Blocked")</f>
        <v/>
      </c>
    </row>
    <row r="9" ht="22" customHeight="1">
      <c r="B9" s="25" t="inlineStr">
        <is>
          <t>Deferred</t>
        </is>
      </c>
      <c r="C9" s="26">
        <f>COUNTIF(Roadmap!I2:I100,"Deferred")</f>
        <v/>
      </c>
    </row>
    <row r="10" ht="8" customHeight="1">
      <c r="B10" s="25" t="inlineStr"/>
      <c r="C10" s="26" t="inlineStr"/>
    </row>
    <row r="11" ht="22" customHeight="1">
      <c r="B11" s="25" t="inlineStr">
        <is>
          <t>Completion Rate</t>
        </is>
      </c>
      <c r="C11" s="35">
        <f>IF(COUNTA(Roadmap!I2:I100)&gt;0,COUNTIF(Roadmap!I2:I100,"Completed")/COUNTA(Roadmap!I2:I100),0)</f>
        <v/>
      </c>
    </row>
    <row r="12" ht="22" customHeight="1">
      <c r="B12" s="25" t="inlineStr">
        <is>
          <t>In Progress Rate</t>
        </is>
      </c>
      <c r="C12" s="35">
        <f>IF(COUNTA(Roadmap!I2:I100)&gt;0,COUNTIF(Roadmap!I2:I100,"In Progress")/COUNTA(Roadmap!I2:I100),0)</f>
        <v/>
      </c>
    </row>
    <row r="14">
      <c r="B14" s="24" t="inlineStr">
        <is>
          <t>PRIORITY BREAKDOWN</t>
        </is>
      </c>
    </row>
    <row r="15" ht="22" customHeight="1">
      <c r="B15" s="25" t="inlineStr">
        <is>
          <t>Critical Actions</t>
        </is>
      </c>
      <c r="C15" s="26">
        <f>COUNTIF(Roadmap!J2:J100,"Critical")</f>
        <v/>
      </c>
      <c r="D15" s="28">
        <f>COUNTIFS(Roadmap!J2:J100,"Critical",Roadmap!I2:I100,"Completed")</f>
        <v/>
      </c>
    </row>
    <row r="16" ht="22" customHeight="1">
      <c r="B16" s="25" t="inlineStr">
        <is>
          <t>High Actions</t>
        </is>
      </c>
      <c r="C16" s="26">
        <f>COUNTIF(Roadmap!J2:J100,"High")</f>
        <v/>
      </c>
      <c r="D16" s="28">
        <f>COUNTIFS(Roadmap!J2:J100,"High",Roadmap!I2:I100,"Completed")</f>
        <v/>
      </c>
    </row>
    <row r="17" ht="22" customHeight="1">
      <c r="B17" s="25" t="inlineStr">
        <is>
          <t>Medium Actions</t>
        </is>
      </c>
      <c r="C17" s="26">
        <f>COUNTIF(Roadmap!J2:J100,"Medium")</f>
        <v/>
      </c>
      <c r="D17" s="28">
        <f>COUNTIFS(Roadmap!J2:J100,"Medium",Roadmap!I2:I100,"Completed")</f>
        <v/>
      </c>
    </row>
    <row r="18" ht="22" customHeight="1">
      <c r="B18" s="25" t="inlineStr">
        <is>
          <t>Low Actions</t>
        </is>
      </c>
      <c r="C18" s="26">
        <f>COUNTIF(Roadmap!J2:J100,"Low")</f>
        <v/>
      </c>
      <c r="D18" s="28">
        <f>COUNTIFS(Roadmap!J2:J100,"Low",Roadmap!I2:I100,"Completed")</f>
        <v/>
      </c>
    </row>
    <row r="20">
      <c r="B20" s="24" t="inlineStr">
        <is>
          <t>PHASE PROGRESS</t>
        </is>
      </c>
    </row>
    <row r="21" ht="24" customHeight="1">
      <c r="B21" s="6" t="inlineStr">
        <is>
          <t>Phase</t>
        </is>
      </c>
      <c r="C21" s="6" t="inlineStr">
        <is>
          <t>Total</t>
        </is>
      </c>
      <c r="D21" s="6" t="inlineStr">
        <is>
          <t>Completed</t>
        </is>
      </c>
      <c r="E21" s="6" t="inlineStr">
        <is>
          <t>In Progress</t>
        </is>
      </c>
      <c r="F21" s="6" t="inlineStr">
        <is>
          <t>Not Started</t>
        </is>
      </c>
      <c r="G21" s="6" t="inlineStr">
        <is>
          <t>% Complete</t>
        </is>
      </c>
    </row>
    <row r="22" ht="22" customHeight="1">
      <c r="A22" s="7" t="n"/>
      <c r="B22" s="7" t="inlineStr">
        <is>
          <t>Phase 1 — Foundation</t>
        </is>
      </c>
      <c r="C22" s="7">
        <f>COUNTIF(Roadmap!E2:E100,B22)</f>
        <v/>
      </c>
      <c r="D22" s="7">
        <f>COUNTIFS(Roadmap!E2:E100,B22,Roadmap!I2:I100,"Completed")</f>
        <v/>
      </c>
      <c r="E22" s="7">
        <f>COUNTIFS(Roadmap!E2:E100,B22,Roadmap!I2:I100,"In Progress")</f>
        <v/>
      </c>
      <c r="F22" s="7">
        <f>COUNTIFS(Roadmap!E2:E100,B22,Roadmap!I2:I100,"Not Started")</f>
        <v/>
      </c>
      <c r="G22" s="36">
        <f>IF(C22&gt;0,D22/C22,0)</f>
        <v/>
      </c>
    </row>
    <row r="23" ht="22" customHeight="1">
      <c r="A23" s="9" t="n"/>
      <c r="B23" s="9" t="inlineStr">
        <is>
          <t>Phase 2 — Documentation</t>
        </is>
      </c>
      <c r="C23" s="9">
        <f>COUNTIF(Roadmap!E2:E100,B23)</f>
        <v/>
      </c>
      <c r="D23" s="9">
        <f>COUNTIFS(Roadmap!E2:E100,B23,Roadmap!I2:I100,"Completed")</f>
        <v/>
      </c>
      <c r="E23" s="9">
        <f>COUNTIFS(Roadmap!E2:E100,B23,Roadmap!I2:I100,"In Progress")</f>
        <v/>
      </c>
      <c r="F23" s="9">
        <f>COUNTIFS(Roadmap!E2:E100,B23,Roadmap!I2:I100,"Not Started")</f>
        <v/>
      </c>
      <c r="G23" s="37">
        <f>IF(C23&gt;0,D23/C23,0)</f>
        <v/>
      </c>
    </row>
    <row r="24" ht="22" customHeight="1">
      <c r="A24" s="7" t="n"/>
      <c r="B24" s="7" t="inlineStr">
        <is>
          <t>Phase 3 — Implementation</t>
        </is>
      </c>
      <c r="C24" s="7">
        <f>COUNTIF(Roadmap!E2:E100,B24)</f>
        <v/>
      </c>
      <c r="D24" s="7">
        <f>COUNTIFS(Roadmap!E2:E100,B24,Roadmap!I2:I100,"Completed")</f>
        <v/>
      </c>
      <c r="E24" s="7">
        <f>COUNTIFS(Roadmap!E2:E100,B24,Roadmap!I2:I100,"In Progress")</f>
        <v/>
      </c>
      <c r="F24" s="7">
        <f>COUNTIFS(Roadmap!E2:E100,B24,Roadmap!I2:I100,"Not Started")</f>
        <v/>
      </c>
      <c r="G24" s="36">
        <f>IF(C24&gt;0,D24/C24,0)</f>
        <v/>
      </c>
    </row>
    <row r="25" ht="22" customHeight="1">
      <c r="A25" s="9" t="n"/>
      <c r="B25" s="9" t="inlineStr">
        <is>
          <t>Phase 4 — Validation</t>
        </is>
      </c>
      <c r="C25" s="9">
        <f>COUNTIF(Roadmap!E2:E100,B25)</f>
        <v/>
      </c>
      <c r="D25" s="9">
        <f>COUNTIFS(Roadmap!E2:E100,B25,Roadmap!I2:I100,"Completed")</f>
        <v/>
      </c>
      <c r="E25" s="9">
        <f>COUNTIFS(Roadmap!E2:E100,B25,Roadmap!I2:I100,"In Progress")</f>
        <v/>
      </c>
      <c r="F25" s="9">
        <f>COUNTIFS(Roadmap!E2:E100,B25,Roadmap!I2:I100,"Not Started")</f>
        <v/>
      </c>
      <c r="G25" s="37">
        <f>IF(C25&gt;0,D25/C25,0)</f>
        <v/>
      </c>
    </row>
    <row r="26" ht="22" customHeight="1">
      <c r="A26" s="7" t="n"/>
      <c r="B26" s="7" t="inlineStr">
        <is>
          <t>Phase 5 — Maintenance</t>
        </is>
      </c>
      <c r="C26" s="7">
        <f>COUNTIF(Roadmap!E2:E100,B26)</f>
        <v/>
      </c>
      <c r="D26" s="7">
        <f>COUNTIFS(Roadmap!E2:E100,B26,Roadmap!I2:I100,"Completed")</f>
        <v/>
      </c>
      <c r="E26" s="7">
        <f>COUNTIFS(Roadmap!E2:E100,B26,Roadmap!I2:I100,"In Progress")</f>
        <v/>
      </c>
      <c r="F26" s="7">
        <f>COUNTIFS(Roadmap!E2:E100,B26,Roadmap!I2:I100,"Not Started")</f>
        <v/>
      </c>
      <c r="G26" s="36">
        <f>IF(C26&gt;0,D26/C26,0)</f>
        <v/>
      </c>
    </row>
    <row r="28">
      <c r="B28" s="24" t="inlineStr">
        <is>
          <t>EFFORT SUMMARY</t>
        </is>
      </c>
    </row>
    <row r="29" ht="22" customHeight="1">
      <c r="B29" s="25" t="inlineStr">
        <is>
          <t>Total Estimated Effort (Person-Days)</t>
        </is>
      </c>
      <c r="C29" s="26">
        <f>SUM(Roadmap!N2:N100)</f>
        <v/>
      </c>
    </row>
    <row r="30" ht="22" customHeight="1">
      <c r="B30" s="25" t="inlineStr">
        <is>
          <t>Effort Completed</t>
        </is>
      </c>
      <c r="C30" s="26">
        <f>SUMPRODUCT((Roadmap!I2:I100="Completed")*(Roadmap!N2:N100))</f>
        <v/>
      </c>
    </row>
    <row r="31" ht="22" customHeight="1">
      <c r="B31" s="25" t="inlineStr">
        <is>
          <t>Effort Remaining</t>
        </is>
      </c>
      <c r="C31" s="26">
        <f>SUM(Roadmap!N2:N100)-SUMPRODUCT((Roadmap!I2:I100="Completed")*(Roadmap!N2:N100))</f>
        <v/>
      </c>
    </row>
    <row r="32" ht="22" customHeight="1">
      <c r="B32" s="25" t="inlineStr">
        <is>
          <t>Average Effort per Action</t>
        </is>
      </c>
      <c r="C32" s="38">
        <f>IF(COUNTA(Roadmap!N2:N100)&gt;0,AVERAGE(Roadmap!N2:N100),0)</f>
        <v/>
      </c>
    </row>
    <row r="34">
      <c r="B34" s="24" t="inlineStr">
        <is>
          <t>DEADLINE RISK ASSESSMENT</t>
        </is>
      </c>
    </row>
    <row r="35" ht="22" customHeight="1">
      <c r="B35" s="25" t="inlineStr">
        <is>
          <t>Actions due before 2 Aug 2026 (Annex III deadline)</t>
        </is>
      </c>
      <c r="C35" s="32">
        <f>COUNTIFS(Roadmap!L2:L100,"&lt;="&amp;DATE(2026,8,2),Roadmap!I2:I100,"&lt;&gt;Completed")</f>
        <v/>
      </c>
    </row>
    <row r="36" ht="22" customHeight="1">
      <c r="B36" s="25" t="inlineStr">
        <is>
          <t>Overdue actions (target date &lt; today)</t>
        </is>
      </c>
      <c r="C36" s="32">
        <f>COUNTIFS(Roadmap!L2:L100,"&lt;"&amp;TODAY(),Roadmap!I2:I100,"&lt;&gt;Completed",Roadmap!L2:L100,"&gt;0")</f>
        <v/>
      </c>
    </row>
    <row r="37" ht="22" customHeight="1">
      <c r="B37" s="25" t="inlineStr">
        <is>
          <t>Blocked actions requiring attention</t>
        </is>
      </c>
      <c r="C37" s="32">
        <f>COUNTIF(Roadmap!I2:I100,"Blocked")</f>
        <v/>
      </c>
    </row>
    <row r="40">
      <c r="B40" s="5" t="inlineStr">
        <is>
          <t>hexis.center · EU AI Act Compliance Starter Kit · Regulation (EU) 2024/1689</t>
        </is>
      </c>
    </row>
  </sheetData>
  <mergeCells count="5">
    <mergeCell ref="B3:G3"/>
    <mergeCell ref="B20:G20"/>
    <mergeCell ref="B34:G34"/>
    <mergeCell ref="B28:G28"/>
    <mergeCell ref="B14:G1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2026-03-25T15:04:29Z</dcterms:created>
  <dcterms:modified xmlns:dcterms="http://purl.org/dc/terms/" xmlns:xsi="http://www.w3.org/2001/XMLSchema-instance" xsi:type="dcterms:W3CDTF">2026-03-25T15:12:59Z</dcterms:modified>
</cp:coreProperties>
</file>